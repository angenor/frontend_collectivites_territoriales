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RECETTE"/>
    <sheet r:id="rId2" sheetId="2" name="DEPENSES"/>
    <sheet r:id="rId3" sheetId="3" name="EQUILIBRE"/>
  </sheets>
  <calcPr fullCalcOnLoad="1"/>
</workbook>
</file>

<file path=xl/sharedStrings.xml><?xml version="1.0" encoding="utf-8"?>
<sst xmlns="http://schemas.openxmlformats.org/spreadsheetml/2006/main" count="574" uniqueCount="415">
  <si>
    <t>TABLEAU D'EQUILIBRE DU COMPTE ADMINISTRATIF</t>
  </si>
  <si>
    <t>COLLECTIVITE : …..........</t>
  </si>
  <si>
    <t>DEPENSES</t>
  </si>
  <si>
    <t>RECETTES</t>
  </si>
  <si>
    <t>COMPTE</t>
  </si>
  <si>
    <t>INTITULES</t>
  </si>
  <si>
    <t>MANDAT ADMIS</t>
  </si>
  <si>
    <t>PAIEMENT</t>
  </si>
  <si>
    <t>RESTE A PAYER</t>
  </si>
  <si>
    <t>CHARGES DE PERSONNEL</t>
  </si>
  <si>
    <t>IMPOTS SUR LES REVENUS, BENEFICES ET GAINS</t>
  </si>
  <si>
    <t>ACHATS DE BIENS</t>
  </si>
  <si>
    <t>IMPOTS SUR LE PATRIMOINE</t>
  </si>
  <si>
    <t>ACHATS DE SERVICES ET CHARGES PERMANENTES</t>
  </si>
  <si>
    <t>IMPOTS SUR LES BIENS ET SERVICES</t>
  </si>
  <si>
    <t>DEPENSES D'INTERVENTION</t>
  </si>
  <si>
    <t>AUTRES RECETTES FISCALES</t>
  </si>
  <si>
    <t>IMPOTS ET TAXES</t>
  </si>
  <si>
    <t>CONTRIBUTIONS RECUES DES TIERS</t>
  </si>
  <si>
    <t>TRANSFERTS ET SUBVENTIONS</t>
  </si>
  <si>
    <t>PRODUITS FINANCIERS</t>
  </si>
  <si>
    <t>CHARGES FINANCIERES</t>
  </si>
  <si>
    <t>RECETTES NON FISCALES</t>
  </si>
  <si>
    <t>CHARGES DIVERSES</t>
  </si>
  <si>
    <t>REPORT A NOUVEAU (DEFICIT)</t>
  </si>
  <si>
    <t>REPORT A NOUVEAU (EXCEDENT)</t>
  </si>
  <si>
    <t>TOTAL DEPENSES REELLES DE FONCTIONNEMENT</t>
  </si>
  <si>
    <t>EXCEDENT DE FONCTIONNEMENT</t>
  </si>
  <si>
    <t>PRODUCTION IMMOBILISEE</t>
  </si>
  <si>
    <t>TOTAL DEPENSES D'ORDRE DE FONCTIONNEMENT</t>
  </si>
  <si>
    <t>TOTAL DEPENSES DE FONCTIONNEMENT (2)</t>
  </si>
  <si>
    <t>TOTAL RECETTES DE FONCTIONNEMENT (1)</t>
  </si>
  <si>
    <t>EXCEDENT DE FONCTIONNEMENT (1) - (2)</t>
  </si>
  <si>
    <t>DEFICIT DE FONCTIONNEMENT (1) - (2)</t>
  </si>
  <si>
    <t>SECTION INVESTISSEMENT</t>
  </si>
  <si>
    <t>INTITULE</t>
  </si>
  <si>
    <t>EMPRUNTS ET DETTES ASSIMILEES</t>
  </si>
  <si>
    <t>FONDS, DOTATIONS ET RESERVES</t>
  </si>
  <si>
    <t>IMMOBILISATION INCORPORELLES</t>
  </si>
  <si>
    <t>SUBVENTIONS D'EQUIPEMENT</t>
  </si>
  <si>
    <t>IMMOBILISATION CORPORELLES</t>
  </si>
  <si>
    <t>CESSIONS D'IMMOBILISATIONS</t>
  </si>
  <si>
    <t>TOTAL DEPENSES REELLES D'INVESTISSEMENT</t>
  </si>
  <si>
    <t>DOTATION DE L'ETAT</t>
  </si>
  <si>
    <t>EXCEDENT DE FONCTIONNEMENT CAPITALISE</t>
  </si>
  <si>
    <t>TOTAL DEPENSES D'ORDRE D'INVESTISSEMENT</t>
  </si>
  <si>
    <t>TOTAL DEPENSES D'INVESTISSEMENT (4)</t>
  </si>
  <si>
    <t>TOTAL RECETTES D'INVESTISSEMENT (3)</t>
  </si>
  <si>
    <t>EXCEDENT D'INVESTISSEMENT (3) - (4)</t>
  </si>
  <si>
    <t>DEFICIT D'INVESTISSEMENT (3) - (4)</t>
  </si>
  <si>
    <t>TABLEAU DETAILLE DES DEPENSES</t>
  </si>
  <si>
    <t>PROGRAMME :</t>
  </si>
  <si>
    <t>DEPENSES DE FONCTIONNEMENT</t>
  </si>
  <si>
    <t>BUDGET PRIMITIF</t>
  </si>
  <si>
    <t>BUDGET ADDITIONNEL</t>
  </si>
  <si>
    <t>MODIFICATIONS +/-</t>
  </si>
  <si>
    <t>PREVISIONS DEFINITIVES (1)</t>
  </si>
  <si>
    <t>ENGAGEMENT</t>
  </si>
  <si>
    <t>MANDAT ADMIS (2)</t>
  </si>
  <si>
    <t>TAUX D'EXECUTION (2)/(1)</t>
  </si>
  <si>
    <t>Salaires et accessoires</t>
  </si>
  <si>
    <t>Personnel permanent</t>
  </si>
  <si>
    <t>Personnel non permanent</t>
  </si>
  <si>
    <t>Indemnités liées à la solde</t>
  </si>
  <si>
    <t>Indemnités et avantages liés à la fonction</t>
  </si>
  <si>
    <t>Supplément familial de traitement</t>
  </si>
  <si>
    <t>Charges sociales patronales</t>
  </si>
  <si>
    <t>Cotisations à la CNAPS</t>
  </si>
  <si>
    <t>Cotisations caisse de retraites civiles et militaires</t>
  </si>
  <si>
    <t>CPR</t>
  </si>
  <si>
    <t>Cotisations aux OSIE</t>
  </si>
  <si>
    <t>Autres charges sociales patronales</t>
  </si>
  <si>
    <t>Achats de biens de fonctionnement général</t>
  </si>
  <si>
    <t>Fournitures et articles de bureau</t>
  </si>
  <si>
    <t>Imprimés, cachets et docuements administratifs</t>
  </si>
  <si>
    <t>Consomptibles informatiques</t>
  </si>
  <si>
    <t>Produits, petits matériels et menues dépenses d'entretien</t>
  </si>
  <si>
    <t>Petits outillages et fournitures d'atelier</t>
  </si>
  <si>
    <t>Instruments spécialisés</t>
  </si>
  <si>
    <t>Habillement</t>
  </si>
  <si>
    <t>Achats de biens à usage spécifique</t>
  </si>
  <si>
    <t>Fornitures scolaires</t>
  </si>
  <si>
    <t>Consommables médicaux</t>
  </si>
  <si>
    <t>Produits pahrmaceutiques</t>
  </si>
  <si>
    <t>Produits vétérianaires</t>
  </si>
  <si>
    <t>Produits alimentaires</t>
  </si>
  <si>
    <t>Intrants agricoles</t>
  </si>
  <si>
    <t>Fournitures sportives</t>
  </si>
  <si>
    <t>Fournitures ménagères</t>
  </si>
  <si>
    <t>Carburants, Lubrifiants et combustibles</t>
  </si>
  <si>
    <t>Carburants et Lubrifiants</t>
  </si>
  <si>
    <t>Gaz</t>
  </si>
  <si>
    <t>Autres combustibles</t>
  </si>
  <si>
    <t>Variation de stocks</t>
  </si>
  <si>
    <t>Variation des stocks de biens de fonctionnement général</t>
  </si>
  <si>
    <t>Variation des stoccks de biens à usage spécifique</t>
  </si>
  <si>
    <t>Variation des stocks de carburants, Lubrifiants et combustibles</t>
  </si>
  <si>
    <t>Variation des staock d'autres achats</t>
  </si>
  <si>
    <t>Autres achats</t>
  </si>
  <si>
    <t>Achats de matières premières</t>
  </si>
  <si>
    <t>Achats de marchandises destinées à être revendues</t>
  </si>
  <si>
    <t>Emballages</t>
  </si>
  <si>
    <t>Entretien et maintenance</t>
  </si>
  <si>
    <t>Entretien de bâtiments</t>
  </si>
  <si>
    <t>Entretien des autres infrastructures</t>
  </si>
  <si>
    <t>Entretien de véhicules</t>
  </si>
  <si>
    <t>Entretien de matériels techniques</t>
  </si>
  <si>
    <t>Entretien et réparation des matériels et mobiliers de bureau</t>
  </si>
  <si>
    <t>Entretien et réparation des matériels et mobiliers de logement</t>
  </si>
  <si>
    <t>Entretien et réparation des matériels et mobiliers scolaires</t>
  </si>
  <si>
    <t>Maintenance du matériel informatique</t>
  </si>
  <si>
    <t>Charges de représentation, d'information, de documentation et d'encadrement</t>
  </si>
  <si>
    <t>Fêtes et cérémonies officielles</t>
  </si>
  <si>
    <t>Charges de représentation : visites officielles</t>
  </si>
  <si>
    <t>Docuementation et abonnement</t>
  </si>
  <si>
    <t>Impression, reliures, insertions, publicité et promotion</t>
  </si>
  <si>
    <t>Frais de Colloques, séminaires, conférences</t>
  </si>
  <si>
    <t>Foires, exposition</t>
  </si>
  <si>
    <t>Charges de transport</t>
  </si>
  <si>
    <t>Frais de déplacement intérieur</t>
  </si>
  <si>
    <t>Frais de déplacement extérieur</t>
  </si>
  <si>
    <t>Locations de voitures</t>
  </si>
  <si>
    <t>Transport administratif</t>
  </si>
  <si>
    <t>Transport de bien</t>
  </si>
  <si>
    <t>Indemnités de mission</t>
  </si>
  <si>
    <t xml:space="preserve">Indemnité de mission intérieure </t>
  </si>
  <si>
    <t xml:space="preserve">Indemnité de mission extérieure </t>
  </si>
  <si>
    <t>Viatique</t>
  </si>
  <si>
    <t>Eau et éléctricité</t>
  </si>
  <si>
    <t>Eau et électricité</t>
  </si>
  <si>
    <t>Poste et télécommunications</t>
  </si>
  <si>
    <t>Frais postaux</t>
  </si>
  <si>
    <t>Redevances téléphoniques</t>
  </si>
  <si>
    <t>Redevances téléphoniques mobiles</t>
  </si>
  <si>
    <t>Internet</t>
  </si>
  <si>
    <t>Télex</t>
  </si>
  <si>
    <t>Autres</t>
  </si>
  <si>
    <t>Charges locatives</t>
  </si>
  <si>
    <t>Location d'immeuble de bureau</t>
  </si>
  <si>
    <t>Location d'immeuble de logement</t>
  </si>
  <si>
    <t>Location d'immeuble de bureau-loggement</t>
  </si>
  <si>
    <t>Location de terrain</t>
  </si>
  <si>
    <t>Location de matériels</t>
  </si>
  <si>
    <t>Autres charges locatives</t>
  </si>
  <si>
    <t>Services divers</t>
  </si>
  <si>
    <t>Rémunérations d'intermédiaires et honoraires</t>
  </si>
  <si>
    <t>Frais d'études et de recherche</t>
  </si>
  <si>
    <t>Frais de stage et de formation</t>
  </si>
  <si>
    <t>Assurances</t>
  </si>
  <si>
    <t>Services banciares et assimilés</t>
  </si>
  <si>
    <t>Cotisations et divers</t>
  </si>
  <si>
    <t>Personnels extérieurs au service</t>
  </si>
  <si>
    <t>Contrat de prestation de service</t>
  </si>
  <si>
    <t>Intervention sociale</t>
  </si>
  <si>
    <t>Intervention économique</t>
  </si>
  <si>
    <t>Intervention structurelle</t>
  </si>
  <si>
    <t>Dépenses d'intervention diverses et imprévues</t>
  </si>
  <si>
    <t>Taxes et impôts directs</t>
  </si>
  <si>
    <t>Autres taxes et impôts directs</t>
  </si>
  <si>
    <t>Taxes et impôts indirects</t>
  </si>
  <si>
    <t>Impôts, taxes et droits d'enregistrement</t>
  </si>
  <si>
    <t>Droits à l'importation</t>
  </si>
  <si>
    <t>Impôts, taxes et droits divers</t>
  </si>
  <si>
    <t>Transferts aux collectivités publiques</t>
  </si>
  <si>
    <t>Bourses</t>
  </si>
  <si>
    <t>Bourses à Madagascar</t>
  </si>
  <si>
    <t>Bourses à l'extérieur</t>
  </si>
  <si>
    <t>Présalaire, Prêt d'honneur</t>
  </si>
  <si>
    <t>Prix et récompenses officiels</t>
  </si>
  <si>
    <t>Contributions obligatoires</t>
  </si>
  <si>
    <t>Transferts aux organismes publics</t>
  </si>
  <si>
    <t>Transferts aux privés</t>
  </si>
  <si>
    <t>Hospitalisation, traitement et soins</t>
  </si>
  <si>
    <t>Secours</t>
  </si>
  <si>
    <t>Indemnisation</t>
  </si>
  <si>
    <t>Régularisation des droits acquis</t>
  </si>
  <si>
    <t>Subvention au secteur privé</t>
  </si>
  <si>
    <t>Charges d'intérêt</t>
  </si>
  <si>
    <t>Intérêts des emprunts</t>
  </si>
  <si>
    <t>Autres charges d'intérêt</t>
  </si>
  <si>
    <t>Intérêts banciares et opérations de financements à court terme</t>
  </si>
  <si>
    <t>Intérêts des opérations de financements à court terme</t>
  </si>
  <si>
    <t>Intérêts des comptes courants et des dépôts créditeurs</t>
  </si>
  <si>
    <t>Intérêts des comptes courants</t>
  </si>
  <si>
    <t>Intérêts des dépôts créditerus</t>
  </si>
  <si>
    <t>Différences de change : pertes</t>
  </si>
  <si>
    <t>Pertes de changes</t>
  </si>
  <si>
    <t>Autres charges financières</t>
  </si>
  <si>
    <t>Intérêts des autres dettes</t>
  </si>
  <si>
    <t>Remise gracieuse, dégrèvement et perte sur titre émis</t>
  </si>
  <si>
    <t>Remises gracieuses</t>
  </si>
  <si>
    <t>Dégrèvement sur titres émis</t>
  </si>
  <si>
    <t>Pertes sur créances irrecouvrables</t>
  </si>
  <si>
    <t>Perte sur dons extérieurs</t>
  </si>
  <si>
    <t>Reversement sur trop peçu</t>
  </si>
  <si>
    <t>Reversement sur trop perçu</t>
  </si>
  <si>
    <t>Déficits budgets annexes</t>
  </si>
  <si>
    <t>Frais de justice et de contentieux</t>
  </si>
  <si>
    <t>Frais de justice</t>
  </si>
  <si>
    <t>Frais de contentieux</t>
  </si>
  <si>
    <t>Intérêts moratoires, Amendes et Pénalités</t>
  </si>
  <si>
    <t>Amendes</t>
  </si>
  <si>
    <t>Pénalités</t>
  </si>
  <si>
    <t>Autres charges diverses</t>
  </si>
  <si>
    <t>Moins-values sur cessions d'immobilisations</t>
  </si>
  <si>
    <t>Quotes-part de résultat sur opérations faites en commun</t>
  </si>
  <si>
    <t>SOUS-TOTAL FONCTIONNEMENT</t>
  </si>
  <si>
    <t>DEPENSES D'INVESTISSEMENT</t>
  </si>
  <si>
    <t>Emprunts en Ariary</t>
  </si>
  <si>
    <t>Emprunts à long et moyen terme : part à plus d'un an</t>
  </si>
  <si>
    <t>Emprunts à long et moyen terme : part à moins d'un an</t>
  </si>
  <si>
    <t>Emprunts en devises</t>
  </si>
  <si>
    <t>Dépôts et cautionnement reçus</t>
  </si>
  <si>
    <t>Dettes sur contrat de location-financement</t>
  </si>
  <si>
    <t>Autres emprunts et dettes assimilés</t>
  </si>
  <si>
    <t>Intérêts courus sur emprunts et dettes assimilés</t>
  </si>
  <si>
    <t>Frais de développement, de recherche et d'études</t>
  </si>
  <si>
    <t>Formation</t>
  </si>
  <si>
    <t>Animation et encadrement</t>
  </si>
  <si>
    <t>Assistance technique</t>
  </si>
  <si>
    <t>Logiciels informatiques et assimilés</t>
  </si>
  <si>
    <t>Etudes et recherches</t>
  </si>
  <si>
    <t>Suivi - Contrôle - Evaluations</t>
  </si>
  <si>
    <t>Frais de pré-exploitation</t>
  </si>
  <si>
    <t>Concessions et droits similaires, brevets, licences, marques</t>
  </si>
  <si>
    <t>Concessions et droits similaires</t>
  </si>
  <si>
    <t>Brevets, licences, marques</t>
  </si>
  <si>
    <t>Autres immoblisations incorporelles</t>
  </si>
  <si>
    <t>Terrains</t>
  </si>
  <si>
    <t>Terrains nus</t>
  </si>
  <si>
    <t>Terrains bâtis</t>
  </si>
  <si>
    <t>Terrains de gisement</t>
  </si>
  <si>
    <t>Terrains de chantiers</t>
  </si>
  <si>
    <t>Terrains de voiries</t>
  </si>
  <si>
    <t>Cimetières</t>
  </si>
  <si>
    <t>Bois et forêts</t>
  </si>
  <si>
    <t>Aménagement</t>
  </si>
  <si>
    <t>Aménagement de terrain</t>
  </si>
  <si>
    <t>Aménagement des aérodromes</t>
  </si>
  <si>
    <t>Aménagement des ports</t>
  </si>
  <si>
    <t>Travaux d'irrigation</t>
  </si>
  <si>
    <t>Travaus d'urbanisme</t>
  </si>
  <si>
    <t>Autres aménagements</t>
  </si>
  <si>
    <t>Construction ou Réhabilitation : Bâtiments</t>
  </si>
  <si>
    <t>Batiments administratifs</t>
  </si>
  <si>
    <t>Bâtiments scolaires</t>
  </si>
  <si>
    <t>Batiments de cnetres de soins de santé</t>
  </si>
  <si>
    <t>Autres bâtiments techniques</t>
  </si>
  <si>
    <t>Installations, agencemetns et aménagements - Bâtiments</t>
  </si>
  <si>
    <t>Autres constructions ou réhabilitations - Bâtiments</t>
  </si>
  <si>
    <t>Construction ou Réhabilitation : Voies</t>
  </si>
  <si>
    <t>Routes</t>
  </si>
  <si>
    <t>Voies ferrées</t>
  </si>
  <si>
    <t>Voies d'eau</t>
  </si>
  <si>
    <t>Pistes d'aérodrome</t>
  </si>
  <si>
    <t>Installations, agencements et aménagements - Voies</t>
  </si>
  <si>
    <t>Autres constructions ou réhabilitations - Voies</t>
  </si>
  <si>
    <t>Construction ou Réhabilitation : Réseaux</t>
  </si>
  <si>
    <t>Réseau d'aduction d'eau</t>
  </si>
  <si>
    <t>Réseau d'assainissement</t>
  </si>
  <si>
    <t>Réseau téléphonique</t>
  </si>
  <si>
    <t>Réseau de communication</t>
  </si>
  <si>
    <t>Réseau d'électricité</t>
  </si>
  <si>
    <t>Réseau d'irrigation</t>
  </si>
  <si>
    <t>Installations, agencements et aménagements - Réseaux</t>
  </si>
  <si>
    <t>Autres constructions ou réhabilitations - Réseaux</t>
  </si>
  <si>
    <t>Matériels et outillages</t>
  </si>
  <si>
    <t>Matériels techniques</t>
  </si>
  <si>
    <t>Matériels agricoles</t>
  </si>
  <si>
    <t>Matériels informatiques</t>
  </si>
  <si>
    <t>Matériels et mobiliers de bureau</t>
  </si>
  <si>
    <t>Matériels et mobiliers de logement</t>
  </si>
  <si>
    <t>Matériels et mobiliers scolaires</t>
  </si>
  <si>
    <t>Outillages</t>
  </si>
  <si>
    <t>Autres matériels et outillages</t>
  </si>
  <si>
    <t>Matériels de transoport</t>
  </si>
  <si>
    <t>Renouvellement des vehicules du parc administratif</t>
  </si>
  <si>
    <t>Matériel automobile</t>
  </si>
  <si>
    <t>Matériel fluvial</t>
  </si>
  <si>
    <t>Matériel ferroviaire</t>
  </si>
  <si>
    <t>Matériel naval</t>
  </si>
  <si>
    <t>Matériel aérien</t>
  </si>
  <si>
    <t>Autres moyens de locomotion</t>
  </si>
  <si>
    <t>Autres immobilisations corporelles</t>
  </si>
  <si>
    <t>Cheptel</t>
  </si>
  <si>
    <t>Emballages récupérables</t>
  </si>
  <si>
    <t>Installations complexes spécialisées</t>
  </si>
  <si>
    <t>SOUS-TOTAL INVESTISSEMENT</t>
  </si>
  <si>
    <t>TABLEAU DETAILLE DES RECETTES</t>
  </si>
  <si>
    <t>RECETTES DE FONCTIONNEMENT</t>
  </si>
  <si>
    <t>OR ADMIS (2)</t>
  </si>
  <si>
    <t>RECOUVREMENT</t>
  </si>
  <si>
    <t>RESTE A RECOUVRER</t>
  </si>
  <si>
    <t>Autres impôts sur les revenus</t>
  </si>
  <si>
    <t>Autres impôts sur les revenus - Impôt synthétique</t>
  </si>
  <si>
    <t>Impôts fonciers sur les terrains - IFT</t>
  </si>
  <si>
    <t>Impôt foncier sur les propriétés bâties – IFPB</t>
  </si>
  <si>
    <t>Autres impôts locaux sur les propriétés baties</t>
  </si>
  <si>
    <t>Taxe annuelle sur autres patrimoines</t>
  </si>
  <si>
    <t>Taxes sur les appareils automatiques ou électroniques</t>
  </si>
  <si>
    <t>Taxes sur les appareils mecaniques</t>
  </si>
  <si>
    <t xml:space="preserve">Autres taxes et impots annuels </t>
  </si>
  <si>
    <t>Taxes particulières sur les biens</t>
  </si>
  <si>
    <t>Taxes sur l'électricité</t>
  </si>
  <si>
    <t>Taxes sur l'eau</t>
  </si>
  <si>
    <t>Surtaxe sur l'eau et l'électricité</t>
  </si>
  <si>
    <t>Taxes sur les eaux minérales</t>
  </si>
  <si>
    <t>Autres taxes particulières sur les biens</t>
  </si>
  <si>
    <t>Taxes particulières sur les services</t>
  </si>
  <si>
    <t>taxes sur la publicité</t>
  </si>
  <si>
    <t>Taxe d’abattage</t>
  </si>
  <si>
    <t>Taxe de visite et de poinçonnage des viandes</t>
  </si>
  <si>
    <t>Autres taxes locales sur les services</t>
  </si>
  <si>
    <t>Taxes particulières sur les activités</t>
  </si>
  <si>
    <t>Impôt de licence</t>
  </si>
  <si>
    <t>Prélèvement sur les produits de jeux - PPJ</t>
  </si>
  <si>
    <t>Taxes sur les fêtes, spectacles et manifestations…</t>
  </si>
  <si>
    <t>Taxes sur les établissements exerçant des activités à but lucratif</t>
  </si>
  <si>
    <t>Autres taxes locales sur les activités</t>
  </si>
  <si>
    <t>Autres impôts sur les biens et services</t>
  </si>
  <si>
    <t>Amendes fiscales et pénalités</t>
  </si>
  <si>
    <t>Amendes fiscales</t>
  </si>
  <si>
    <t>Pénalité</t>
  </si>
  <si>
    <t>Intérêt moratoire</t>
  </si>
  <si>
    <t>Taxes diverses</t>
  </si>
  <si>
    <t>Droits et taxes diverses : Activités agricoles</t>
  </si>
  <si>
    <t>Subvention d'exploitation - Etat</t>
  </si>
  <si>
    <t>Dotation globale -EPP</t>
  </si>
  <si>
    <t>Dotation globale -CSB</t>
  </si>
  <si>
    <t>Dotation globale -Etat civil</t>
  </si>
  <si>
    <t>Dotation globale -Autres</t>
  </si>
  <si>
    <t>Subventions d'exploitation reçcues des Collectivités Publiques</t>
  </si>
  <si>
    <t>Collectivités Territoriales Décentralisées</t>
  </si>
  <si>
    <t>Etablissements Publics à caractère Industriel et Commercial (EPIC)</t>
  </si>
  <si>
    <t>Etablissements Publics à caractère Administratifs (EPA)</t>
  </si>
  <si>
    <t>Autres Collectivités Publiques</t>
  </si>
  <si>
    <t>Organismes privés locaux</t>
  </si>
  <si>
    <t>organisme privée locaux</t>
  </si>
  <si>
    <t>Produits des prises de participation</t>
  </si>
  <si>
    <t>Produits des autres immobilisations financières</t>
  </si>
  <si>
    <t>Revenus des obligations et bons à plus d'un an</t>
  </si>
  <si>
    <t>Revenus des prêts à long et moyen terme</t>
  </si>
  <si>
    <t>Revenus des autres créances</t>
  </si>
  <si>
    <t>Revenus des titres de placement et des prêts à court terme</t>
  </si>
  <si>
    <t>Revenus des obligations et bons à court terme</t>
  </si>
  <si>
    <t>Revenus des prêts à court terme</t>
  </si>
  <si>
    <t>Autres produits financiers</t>
  </si>
  <si>
    <t>Redevances</t>
  </si>
  <si>
    <t>Redevances de collecte et de traitement des ordures ménagères - ROM</t>
  </si>
  <si>
    <t>Redevances de rejet des eaux usées - RREU</t>
  </si>
  <si>
    <t>Redevance et frais d'administration minière</t>
  </si>
  <si>
    <t>Redevances sur autorisations administratives</t>
  </si>
  <si>
    <t>Redevance fixe d'abonnement pour branchement</t>
  </si>
  <si>
    <t>Redevance versées par les fermiers et concessionnaires</t>
  </si>
  <si>
    <t>Produits des ristournes</t>
  </si>
  <si>
    <t>Autres redevances locales</t>
  </si>
  <si>
    <t>Produits des activités des services</t>
  </si>
  <si>
    <t>Prestation de service</t>
  </si>
  <si>
    <t>Produits finis</t>
  </si>
  <si>
    <t>Produits intermédiaires</t>
  </si>
  <si>
    <t>Produits résiduels</t>
  </si>
  <si>
    <t>Travaux</t>
  </si>
  <si>
    <t>Marchandises</t>
  </si>
  <si>
    <t>revenus des domaines</t>
  </si>
  <si>
    <t>Autres produits des activités des services</t>
  </si>
  <si>
    <t>Produits des activités annexes et accessoires</t>
  </si>
  <si>
    <t>Commissions et courtages</t>
  </si>
  <si>
    <t>Locations diverses</t>
  </si>
  <si>
    <t>Confiscations</t>
  </si>
  <si>
    <t>Droit de fourrières</t>
  </si>
  <si>
    <t>Droit de stationnement</t>
  </si>
  <si>
    <t>TOTAL RECETTES REELLES DE FONCTIONNEMENT</t>
  </si>
  <si>
    <t>Production immobilisée</t>
  </si>
  <si>
    <t>Immobilisation incorporelle</t>
  </si>
  <si>
    <t>Immobilisations corporelle</t>
  </si>
  <si>
    <t>TOTAL RECETTES D'ORDRE FONCTIONNEMENT</t>
  </si>
  <si>
    <t>RECETTE D'INVESTISSEMENT</t>
  </si>
  <si>
    <t>TAUX D'EXECUTION (2/1)</t>
  </si>
  <si>
    <t>Dotations et fonds divers</t>
  </si>
  <si>
    <t>Contreparties d'intégrations pratimoniales</t>
  </si>
  <si>
    <t>Dotations de l’État</t>
  </si>
  <si>
    <t>Dotations : autres collectivités ou organismes publics</t>
  </si>
  <si>
    <t>Fonds de travaux électricité</t>
  </si>
  <si>
    <t>Fonds de travaux réseau eau</t>
  </si>
  <si>
    <t>Dons et legs en capital</t>
  </si>
  <si>
    <t>Mises à disposition</t>
  </si>
  <si>
    <t>Réserves</t>
  </si>
  <si>
    <t>Réserves des budgets annexes</t>
  </si>
  <si>
    <t>Excédent de fonctionnement capitalisé</t>
  </si>
  <si>
    <t>Autres réserves</t>
  </si>
  <si>
    <t>Subventions d'équipement reçues</t>
  </si>
  <si>
    <t>Subventions reçues de l'Etat</t>
  </si>
  <si>
    <t>Subventions reçues des Collectivités Territoriales Décentralisées</t>
  </si>
  <si>
    <t>Subventions reçues des Organismes nationaux et internationaux</t>
  </si>
  <si>
    <t>Aides bilatérales</t>
  </si>
  <si>
    <t>Aides multilatérales</t>
  </si>
  <si>
    <t>Autres subventions d'équipement reçues</t>
  </si>
  <si>
    <t>Subvention d'investissement transférée au compte de résultat</t>
  </si>
  <si>
    <t>Cession d'immobilisations incorporelles</t>
  </si>
  <si>
    <t>Concessions et droits similaires, brevets, licence, marques</t>
  </si>
  <si>
    <t>Autres immobilisations incorporelles</t>
  </si>
  <si>
    <t>Cession d'immobilisations corporelles</t>
  </si>
  <si>
    <t>Bâtiments</t>
  </si>
  <si>
    <t>Voies</t>
  </si>
  <si>
    <t>Réseaux</t>
  </si>
  <si>
    <t>Matériel et ouillage</t>
  </si>
  <si>
    <t>Matériels de transport</t>
  </si>
  <si>
    <t>Cession d'immobilisations financières</t>
  </si>
  <si>
    <t>Ventes de titres de participations</t>
  </si>
  <si>
    <t>Remboursements de prêts accordés à long terme et moyen terme</t>
  </si>
  <si>
    <t>Remboursements de prêts accordés à court terme</t>
  </si>
  <si>
    <t>Remboursements d'avances accordées</t>
  </si>
  <si>
    <t>Autres immobilisations financières</t>
  </si>
  <si>
    <t>TOTAL RECETTES REELLES INVESTISSEMENT</t>
  </si>
  <si>
    <t>RECETTE D'ORDRE INVESTISSEMENT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</si>
</sst>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f2f2f2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afabab"/>
      </patternFill>
    </fill>
    <fill>
      <patternFill patternType="solid">
        <fgColor rgb="FF595959"/>
      </patternFill>
    </fill>
    <fill>
      <patternFill patternType="solid">
        <fgColor rgb="FFe7e6e6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0" borderId="2" applyBorder="1" fontId="3" applyFont="1" fillId="0" applyAlignment="1">
      <alignment horizontal="left"/>
    </xf>
    <xf xfId="0" numFmtId="3" applyNumberFormat="1" borderId="3" applyBorder="1" fontId="4" applyFont="1" fillId="3" applyFill="1" applyAlignment="1">
      <alignment horizontal="center"/>
    </xf>
    <xf xfId="0" numFmtId="0" borderId="3" applyBorder="1" fontId="4" applyFont="1" fillId="3" applyFill="1" applyAlignment="1">
      <alignment horizontal="center"/>
    </xf>
    <xf xfId="0" numFmtId="3" applyNumberFormat="1" borderId="3" applyBorder="1" fontId="3" applyFont="1" fillId="2" applyFill="1" applyAlignment="1">
      <alignment horizontal="center"/>
    </xf>
    <xf xfId="0" numFmtId="0" borderId="3" applyBorder="1" fontId="3" applyFont="1" fillId="2" applyFill="1" applyAlignment="1">
      <alignment horizontal="center" wrapText="1"/>
    </xf>
    <xf xfId="0" numFmtId="3" applyNumberFormat="1" borderId="3" applyBorder="1" fontId="3" applyFont="1" fillId="0" applyAlignment="1">
      <alignment horizontal="center"/>
    </xf>
    <xf xfId="0" numFmtId="0" borderId="3" applyBorder="1" fontId="2" applyFont="1" fillId="0" applyAlignment="1">
      <alignment horizontal="left"/>
    </xf>
    <xf xfId="0" numFmtId="3" applyNumberFormat="1" borderId="3" applyBorder="1" fontId="3" applyFont="1" fillId="4" applyFill="1" applyAlignment="1">
      <alignment horizontal="center"/>
    </xf>
    <xf xfId="0" numFmtId="0" borderId="3" applyBorder="1" fontId="3" applyFont="1" fillId="4" applyFill="1" applyAlignment="1">
      <alignment horizontal="left"/>
    </xf>
    <xf xfId="0" numFmtId="0" borderId="3" applyBorder="1" fontId="2" applyFont="1" fillId="4" applyFill="1" applyAlignment="1">
      <alignment horizontal="left"/>
    </xf>
    <xf xfId="0" numFmtId="0" borderId="3" applyBorder="1" fontId="2" applyFont="1" fillId="4" applyFill="1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3" applyBorder="1" fontId="3" applyFont="1" fillId="2" applyFill="1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2" applyFill="1" applyAlignment="1">
      <alignment horizontal="center"/>
    </xf>
    <xf xfId="0" numFmtId="4" applyNumberFormat="1" borderId="2" applyBorder="1" fontId="3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0" borderId="2" applyBorder="1" fontId="1" applyFont="1" fillId="0" applyAlignment="1">
      <alignment horizontal="right"/>
    </xf>
    <xf xfId="0" numFmtId="3" applyNumberFormat="1" borderId="4" applyBorder="1" fontId="4" applyFont="1" fillId="3" applyFill="1" applyAlignment="1">
      <alignment horizontal="center"/>
    </xf>
    <xf xfId="0" numFmtId="0" borderId="4" applyBorder="1" fontId="4" applyFont="1" fillId="3" applyFill="1" applyAlignment="1">
      <alignment horizontal="center"/>
    </xf>
    <xf xfId="0" numFmtId="4" applyNumberFormat="1" borderId="4" applyBorder="1" fontId="4" applyFont="1" fillId="3" applyFill="1" applyAlignment="1">
      <alignment horizontal="center"/>
    </xf>
    <xf xfId="0" numFmtId="3" applyNumberFormat="1" borderId="5" applyBorder="1" fontId="3" applyFont="1" fillId="2" applyFill="1" applyAlignment="1">
      <alignment horizontal="center"/>
    </xf>
    <xf xfId="0" numFmtId="3" applyNumberFormat="1" borderId="6" applyBorder="1" fontId="3" applyFont="1" fillId="2" applyFill="1" applyAlignment="1">
      <alignment horizontal="center" wrapText="1"/>
    </xf>
    <xf xfId="0" numFmtId="3" applyNumberFormat="1" borderId="6" applyBorder="1" fontId="2" applyFont="1" fillId="2" applyFill="1" applyAlignment="1">
      <alignment horizontal="center" wrapText="1"/>
    </xf>
    <xf xfId="0" numFmtId="4" applyNumberFormat="1" borderId="3" applyBorder="1" fontId="3" applyFont="1" fillId="2" applyFill="1" applyAlignment="1">
      <alignment horizontal="center" wrapText="1"/>
    </xf>
    <xf xfId="0" numFmtId="3" applyNumberFormat="1" borderId="3" applyBorder="1" fontId="3" applyFont="1" fillId="0" applyAlignment="1">
      <alignment horizontal="left"/>
    </xf>
    <xf xfId="0" numFmtId="0" borderId="3" applyBorder="1" fontId="3" applyFont="1" fillId="0" applyAlignment="1">
      <alignment horizontal="left"/>
    </xf>
    <xf xfId="0" numFmtId="4" applyNumberFormat="1" borderId="3" applyBorder="1" fontId="3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3" applyNumberFormat="1" borderId="3" applyBorder="1" fontId="3" applyFont="1" fillId="0" applyAlignment="1">
      <alignment horizontal="right"/>
    </xf>
    <xf xfId="0" numFmtId="3" applyNumberFormat="1" borderId="3" applyBorder="1" fontId="2" applyFont="1" fillId="0" applyAlignment="1">
      <alignment horizontal="left"/>
    </xf>
    <xf xfId="0" numFmtId="3" applyNumberFormat="1" borderId="3" applyBorder="1" fontId="2" applyFont="1" fillId="0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3" applyNumberFormat="1" borderId="3" applyBorder="1" fontId="3" applyFont="1" fillId="4" applyFill="1" applyAlignment="1">
      <alignment horizontal="left"/>
    </xf>
    <xf xfId="0" numFmtId="4" applyNumberFormat="1" borderId="3" applyBorder="1" fontId="3" applyFont="1" fillId="4" applyFill="1" applyAlignment="1">
      <alignment horizontal="right"/>
    </xf>
    <xf xfId="0" numFmtId="3" applyNumberFormat="1" borderId="6" applyBorder="1" fontId="3" applyFont="1" fillId="2" applyFill="1" applyAlignment="1">
      <alignment horizontal="center"/>
    </xf>
    <xf xfId="0" numFmtId="3" applyNumberFormat="1" borderId="7" applyBorder="1" fontId="2" applyFont="1" fillId="2" applyFill="1" applyAlignment="1">
      <alignment horizontal="center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5" applyBorder="1" fontId="3" applyFont="1" fillId="2" applyFill="1" applyAlignment="1">
      <alignment horizontal="center" wrapText="1"/>
    </xf>
    <xf xfId="0" numFmtId="3" applyNumberFormat="1" borderId="6" applyBorder="1" fontId="3" applyFont="1" fillId="2" applyFill="1" applyAlignment="1">
      <alignment horizontal="left" wrapText="1"/>
    </xf>
    <xf xfId="0" numFmtId="0" borderId="3" applyBorder="1" fontId="3" applyFont="1" fillId="2" applyFill="1" applyAlignment="1">
      <alignment horizontal="left" wrapText="1"/>
    </xf>
    <xf xfId="0" numFmtId="4" applyNumberFormat="1" borderId="3" applyBorder="1" fontId="3" applyFont="1" fillId="2" applyFill="1" applyAlignment="1">
      <alignment horizontal="left" wrapText="1"/>
    </xf>
    <xf xfId="0" numFmtId="4" applyNumberFormat="1" borderId="3" applyBorder="1" fontId="3" applyFont="1" fillId="0" applyAlignment="1">
      <alignment horizontal="left"/>
    </xf>
    <xf xfId="0" numFmtId="164" applyNumberFormat="1" borderId="3" applyBorder="1" fontId="3" applyFont="1" fillId="0" applyAlignment="1">
      <alignment horizontal="left"/>
    </xf>
    <xf xfId="0" numFmtId="3" applyNumberFormat="1" borderId="3" applyBorder="1" fontId="2" applyFont="1" fillId="0" applyAlignment="1">
      <alignment horizontal="center"/>
    </xf>
    <xf xfId="0" numFmtId="4" applyNumberFormat="1" borderId="3" applyBorder="1" fontId="2" applyFont="1" fillId="0" applyAlignment="1">
      <alignment horizontal="center"/>
    </xf>
    <xf xfId="0" numFmtId="164" applyNumberFormat="1" borderId="3" applyBorder="1" fontId="3" applyFont="1" fillId="0" applyAlignment="1">
      <alignment horizontal="right"/>
    </xf>
    <xf xfId="0" numFmtId="0" borderId="3" applyBorder="1" fontId="2" applyFont="1" fillId="5" applyFill="1" applyAlignment="1">
      <alignment horizontal="left"/>
    </xf>
    <xf xfId="0" numFmtId="4" applyNumberFormat="1" borderId="3" applyBorder="1" fontId="2" applyFont="1" fillId="0" applyAlignment="1">
      <alignment horizontal="left"/>
    </xf>
    <xf xfId="0" numFmtId="164" applyNumberFormat="1" borderId="3" applyBorder="1" fontId="2" applyFont="1" fillId="0" applyAlignment="1">
      <alignment horizontal="left"/>
    </xf>
    <xf xfId="0" numFmtId="3" applyNumberFormat="1" borderId="6" applyBorder="1" fontId="3" applyFont="1" fillId="2" applyFill="1" applyAlignment="1">
      <alignment horizontal="left"/>
    </xf>
    <xf xfId="0" numFmtId="3" applyNumberFormat="1" borderId="7" applyBorder="1" fontId="3" applyFont="1" fillId="2" applyFill="1" applyAlignment="1">
      <alignment horizontal="left"/>
    </xf>
    <xf xfId="0" numFmtId="0" borderId="3" applyBorder="1" fontId="3" applyFont="1" fillId="2" applyFill="1" applyAlignment="1">
      <alignment horizontal="left"/>
    </xf>
    <xf xfId="0" numFmtId="3" applyNumberFormat="1" borderId="3" applyBorder="1" fontId="2" applyFont="1" fillId="4" applyFill="1" applyAlignment="1">
      <alignment horizontal="center"/>
    </xf>
    <xf xfId="0" numFmtId="3" applyNumberFormat="1" borderId="3" applyBorder="1" fontId="2" applyFont="1" fillId="4" applyFill="1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82"/>
  <sheetViews>
    <sheetView workbookViewId="0"/>
  </sheetViews>
  <sheetFormatPr defaultRowHeight="15" x14ac:dyDescent="0.25"/>
  <cols>
    <col min="1" max="1" style="21" width="8.862142857142858" customWidth="1" bestFit="1"/>
    <col min="2" max="2" style="23" width="8.576428571428572" customWidth="1" bestFit="1"/>
    <col min="3" max="3" style="22" width="4.433571428571429" customWidth="1" bestFit="1"/>
    <col min="4" max="4" style="22" width="5.576428571428571" customWidth="1" bestFit="1"/>
    <col min="5" max="5" style="21" width="61.71928571428572" customWidth="1" bestFit="1"/>
    <col min="6" max="6" style="49" width="16.862142857142857" customWidth="1" bestFit="1"/>
    <col min="7" max="7" style="49" width="22.290714285714284" customWidth="1" bestFit="1"/>
    <col min="8" max="8" style="49" width="16.433571428571426" customWidth="1" bestFit="1"/>
    <col min="9" max="9" style="49" width="17.290714285714284" customWidth="1" bestFit="1"/>
    <col min="10" max="10" style="49" width="14.719285714285713" customWidth="1" bestFit="1"/>
    <col min="11" max="11" style="49" width="18.433571428571426" customWidth="1" bestFit="1"/>
    <col min="12" max="12" style="49" width="17.290714285714284" customWidth="1" bestFit="1"/>
    <col min="13" max="13" style="71" width="17.719285714285714" customWidth="1" bestFit="1"/>
    <col min="14" max="14" style="21" width="12.43357142857143" customWidth="1" bestFit="1"/>
  </cols>
  <sheetData>
    <row x14ac:dyDescent="0.25" r="1" customHeight="1" ht="17.25">
      <c r="A1" s="1"/>
      <c r="B1" s="3"/>
      <c r="C1" s="2"/>
      <c r="D1" s="2"/>
      <c r="E1" s="1"/>
      <c r="F1" s="24"/>
      <c r="G1" s="24"/>
      <c r="H1" s="24"/>
      <c r="I1" s="24"/>
      <c r="J1" s="24"/>
      <c r="K1" s="24"/>
      <c r="L1" s="24"/>
      <c r="M1" s="50"/>
      <c r="N1" s="1"/>
    </row>
    <row x14ac:dyDescent="0.25" r="2" customHeight="1" ht="28.8">
      <c r="A2" s="1"/>
      <c r="B2" s="4" t="s">
        <v>288</v>
      </c>
      <c r="C2" s="4"/>
      <c r="D2" s="4"/>
      <c r="E2" s="5"/>
      <c r="F2" s="25"/>
      <c r="G2" s="25"/>
      <c r="H2" s="25"/>
      <c r="I2" s="25"/>
      <c r="J2" s="25"/>
      <c r="K2" s="25"/>
      <c r="L2" s="25"/>
      <c r="M2" s="5"/>
      <c r="N2" s="1"/>
    </row>
    <row x14ac:dyDescent="0.25" r="3" customHeight="1" ht="17.25">
      <c r="A3" s="1"/>
      <c r="B3" s="3"/>
      <c r="C3" s="2"/>
      <c r="D3" s="2"/>
      <c r="E3" s="1"/>
      <c r="F3" s="24"/>
      <c r="G3" s="26"/>
      <c r="H3" s="26"/>
      <c r="I3" s="26"/>
      <c r="J3" s="24"/>
      <c r="K3" s="24"/>
      <c r="L3" s="24"/>
      <c r="M3" s="50"/>
      <c r="N3" s="1"/>
    </row>
    <row x14ac:dyDescent="0.25" r="4" customHeight="1" ht="17.25">
      <c r="A4" s="1"/>
      <c r="B4" s="3"/>
      <c r="C4" s="51"/>
      <c r="D4" s="51"/>
      <c r="E4" s="8" t="s">
        <v>1</v>
      </c>
      <c r="F4" s="24"/>
      <c r="G4" s="24"/>
      <c r="H4" s="27"/>
      <c r="I4" s="24"/>
      <c r="J4" s="24"/>
      <c r="K4" s="24"/>
      <c r="L4" s="24"/>
      <c r="M4" s="50"/>
      <c r="N4" s="1"/>
    </row>
    <row x14ac:dyDescent="0.25" r="5" customHeight="1" ht="17.25">
      <c r="A5" s="1"/>
      <c r="B5" s="19"/>
      <c r="C5" s="51"/>
      <c r="D5" s="51"/>
      <c r="E5" s="8"/>
      <c r="F5" s="7"/>
      <c r="G5" s="7"/>
      <c r="H5" s="26"/>
      <c r="I5" s="7"/>
      <c r="J5" s="7"/>
      <c r="K5" s="7"/>
      <c r="L5" s="7"/>
      <c r="M5" s="8"/>
      <c r="N5" s="1"/>
    </row>
    <row x14ac:dyDescent="0.25" r="6" customHeight="1" ht="26.399999999999995">
      <c r="A6" s="1"/>
      <c r="B6" s="29" t="s">
        <v>289</v>
      </c>
      <c r="C6" s="29"/>
      <c r="D6" s="29"/>
      <c r="E6" s="30"/>
      <c r="F6" s="31"/>
      <c r="G6" s="31"/>
      <c r="H6" s="31"/>
      <c r="I6" s="31"/>
      <c r="J6" s="31"/>
      <c r="K6" s="31"/>
      <c r="L6" s="31"/>
      <c r="M6" s="30"/>
      <c r="N6" s="1"/>
    </row>
    <row x14ac:dyDescent="0.25" r="7" customHeight="1" ht="58.20000000000001" customFormat="1" s="52">
      <c r="A7" s="53"/>
      <c r="B7" s="54" t="s">
        <v>4</v>
      </c>
      <c r="C7" s="55"/>
      <c r="D7" s="55"/>
      <c r="E7" s="56" t="s">
        <v>5</v>
      </c>
      <c r="F7" s="57" t="s">
        <v>53</v>
      </c>
      <c r="G7" s="57" t="s">
        <v>54</v>
      </c>
      <c r="H7" s="35" t="s">
        <v>55</v>
      </c>
      <c r="I7" s="57" t="s">
        <v>56</v>
      </c>
      <c r="J7" s="57" t="s">
        <v>290</v>
      </c>
      <c r="K7" s="57" t="s">
        <v>291</v>
      </c>
      <c r="L7" s="57" t="s">
        <v>292</v>
      </c>
      <c r="M7" s="56" t="s">
        <v>59</v>
      </c>
      <c r="N7" s="53"/>
    </row>
    <row x14ac:dyDescent="0.25" r="8" customHeight="1" ht="28.8">
      <c r="A8" s="1"/>
      <c r="B8" s="13">
        <v>70</v>
      </c>
      <c r="C8" s="36"/>
      <c r="D8" s="36"/>
      <c r="E8" s="37" t="s">
        <v>10</v>
      </c>
      <c r="F8" s="58">
        <f>SUM(F9:F10)</f>
      </c>
      <c r="G8" s="58">
        <f>SUM(G9:G10)</f>
      </c>
      <c r="H8" s="58">
        <f>SUM(H9:H10)</f>
      </c>
      <c r="I8" s="58">
        <f>SUM(I9:I10)</f>
      </c>
      <c r="J8" s="58">
        <f>SUM(J9:J10)</f>
      </c>
      <c r="K8" s="58">
        <f>SUM(K9:K10)</f>
      </c>
      <c r="L8" s="58">
        <f>SUM(L9:L10)</f>
      </c>
      <c r="M8" s="39">
        <f>J8/I8</f>
      </c>
      <c r="N8" s="1"/>
    </row>
    <row x14ac:dyDescent="0.25" r="9" customHeight="1" ht="17.25">
      <c r="A9" s="1"/>
      <c r="B9" s="13"/>
      <c r="C9" s="36">
        <v>708</v>
      </c>
      <c r="D9" s="36"/>
      <c r="E9" s="37" t="s">
        <v>293</v>
      </c>
      <c r="F9" s="58"/>
      <c r="G9" s="58"/>
      <c r="H9" s="58"/>
      <c r="I9" s="58"/>
      <c r="J9" s="58"/>
      <c r="K9" s="58"/>
      <c r="L9" s="58"/>
      <c r="M9" s="59"/>
      <c r="N9" s="1"/>
    </row>
    <row x14ac:dyDescent="0.25" r="10" customHeight="1" ht="17.25">
      <c r="A10" s="1"/>
      <c r="B10" s="60"/>
      <c r="C10" s="41"/>
      <c r="D10" s="42">
        <v>7080</v>
      </c>
      <c r="E10" s="14" t="s">
        <v>294</v>
      </c>
      <c r="F10" s="43"/>
      <c r="G10" s="43"/>
      <c r="H10" s="61"/>
      <c r="I10" s="43"/>
      <c r="J10" s="43"/>
      <c r="K10" s="43"/>
      <c r="L10" s="43">
        <f>J10-K10</f>
      </c>
      <c r="M10" s="44">
        <f>J10/I10</f>
      </c>
      <c r="N10" s="1"/>
    </row>
    <row x14ac:dyDescent="0.25" r="11" customHeight="1" ht="29.399999999999995">
      <c r="A11" s="1"/>
      <c r="B11" s="13">
        <v>71</v>
      </c>
      <c r="C11" s="36"/>
      <c r="D11" s="36"/>
      <c r="E11" s="37" t="s">
        <v>12</v>
      </c>
      <c r="F11" s="58">
        <f>SUM(F12:F20)</f>
      </c>
      <c r="G11" s="58">
        <f>SUM(G12:G20)</f>
      </c>
      <c r="H11" s="58">
        <f>SUM(H12:H20)</f>
      </c>
      <c r="I11" s="58">
        <f>SUM(I12:I20)</f>
      </c>
      <c r="J11" s="58">
        <f>SUM(J12:J20)</f>
      </c>
      <c r="K11" s="58">
        <f>SUM(K12:K20)</f>
      </c>
      <c r="L11" s="58">
        <f>SUM(L12:L20)</f>
      </c>
      <c r="M11" s="39">
        <f>J11/I11</f>
      </c>
      <c r="N11" s="1"/>
    </row>
    <row x14ac:dyDescent="0.25" r="12" customHeight="1" ht="17.25">
      <c r="A12" s="1"/>
      <c r="B12" s="13"/>
      <c r="C12" s="36">
        <v>714</v>
      </c>
      <c r="D12" s="36"/>
      <c r="E12" s="37" t="s">
        <v>295</v>
      </c>
      <c r="F12" s="58"/>
      <c r="G12" s="58"/>
      <c r="H12" s="58"/>
      <c r="I12" s="58"/>
      <c r="J12" s="58"/>
      <c r="K12" s="58"/>
      <c r="L12" s="58"/>
      <c r="M12" s="59"/>
      <c r="N12" s="1"/>
    </row>
    <row x14ac:dyDescent="0.25" r="13" customHeight="1" ht="17.25">
      <c r="A13" s="1"/>
      <c r="B13" s="60"/>
      <c r="C13" s="41"/>
      <c r="D13" s="42">
        <v>7140</v>
      </c>
      <c r="E13" s="14" t="s">
        <v>295</v>
      </c>
      <c r="F13" s="43"/>
      <c r="G13" s="43"/>
      <c r="H13" s="61"/>
      <c r="I13" s="43"/>
      <c r="J13" s="43"/>
      <c r="K13" s="43"/>
      <c r="L13" s="43">
        <f>J13-K13</f>
      </c>
      <c r="M13" s="44">
        <f>J13/I13</f>
      </c>
      <c r="N13" s="1"/>
    </row>
    <row x14ac:dyDescent="0.25" r="14" customHeight="1" ht="17.25">
      <c r="A14" s="1"/>
      <c r="B14" s="60"/>
      <c r="C14" s="40">
        <v>715</v>
      </c>
      <c r="D14" s="36"/>
      <c r="E14" s="37" t="s">
        <v>296</v>
      </c>
      <c r="F14" s="43"/>
      <c r="G14" s="43"/>
      <c r="H14" s="61"/>
      <c r="I14" s="43"/>
      <c r="J14" s="43"/>
      <c r="K14" s="43"/>
      <c r="L14" s="38"/>
      <c r="M14" s="62"/>
      <c r="N14" s="1"/>
    </row>
    <row x14ac:dyDescent="0.25" r="15" customHeight="1" ht="17.25">
      <c r="A15" s="1"/>
      <c r="B15" s="60"/>
      <c r="C15" s="41"/>
      <c r="D15" s="42">
        <v>7151</v>
      </c>
      <c r="E15" s="14" t="s">
        <v>296</v>
      </c>
      <c r="F15" s="43"/>
      <c r="G15" s="43"/>
      <c r="H15" s="61"/>
      <c r="I15" s="43"/>
      <c r="J15" s="43"/>
      <c r="K15" s="43"/>
      <c r="L15" s="43">
        <f>J15-K15</f>
      </c>
      <c r="M15" s="44">
        <f>J15/I15</f>
      </c>
      <c r="N15" s="1"/>
    </row>
    <row x14ac:dyDescent="0.25" r="16" customHeight="1" ht="17.25">
      <c r="A16" s="1"/>
      <c r="B16" s="60"/>
      <c r="C16" s="41"/>
      <c r="D16" s="42">
        <v>7158</v>
      </c>
      <c r="E16" s="14" t="s">
        <v>297</v>
      </c>
      <c r="F16" s="43"/>
      <c r="G16" s="43"/>
      <c r="H16" s="61"/>
      <c r="I16" s="43"/>
      <c r="J16" s="43"/>
      <c r="K16" s="43"/>
      <c r="L16" s="43">
        <f>J16-K16</f>
      </c>
      <c r="M16" s="44">
        <f>J16/I16</f>
      </c>
      <c r="N16" s="1"/>
    </row>
    <row x14ac:dyDescent="0.25" r="17" customHeight="1" ht="17.25">
      <c r="A17" s="1"/>
      <c r="B17" s="60"/>
      <c r="C17" s="40">
        <v>718</v>
      </c>
      <c r="D17" s="36"/>
      <c r="E17" s="37" t="s">
        <v>298</v>
      </c>
      <c r="F17" s="43"/>
      <c r="G17" s="43"/>
      <c r="H17" s="61"/>
      <c r="I17" s="43"/>
      <c r="J17" s="43"/>
      <c r="K17" s="43"/>
      <c r="L17" s="38"/>
      <c r="M17" s="62"/>
      <c r="N17" s="1"/>
    </row>
    <row x14ac:dyDescent="0.25" r="18" customHeight="1" ht="17.25">
      <c r="A18" s="1"/>
      <c r="B18" s="60"/>
      <c r="C18" s="36"/>
      <c r="D18" s="42">
        <v>7181</v>
      </c>
      <c r="E18" s="14" t="s">
        <v>299</v>
      </c>
      <c r="F18" s="43"/>
      <c r="G18" s="43"/>
      <c r="H18" s="61"/>
      <c r="I18" s="43"/>
      <c r="J18" s="43"/>
      <c r="K18" s="43"/>
      <c r="L18" s="43">
        <f>J18-K18</f>
      </c>
      <c r="M18" s="44">
        <f>J18/I18</f>
      </c>
      <c r="N18" s="1"/>
    </row>
    <row x14ac:dyDescent="0.25" r="19" customHeight="1" ht="17.25">
      <c r="A19" s="1"/>
      <c r="B19" s="60"/>
      <c r="C19" s="41"/>
      <c r="D19" s="42">
        <v>7182</v>
      </c>
      <c r="E19" s="63" t="s">
        <v>300</v>
      </c>
      <c r="F19" s="43"/>
      <c r="G19" s="43"/>
      <c r="H19" s="61"/>
      <c r="I19" s="43"/>
      <c r="J19" s="43"/>
      <c r="K19" s="43"/>
      <c r="L19" s="43">
        <f>J19-K19</f>
      </c>
      <c r="M19" s="44">
        <f>J19/I19</f>
      </c>
      <c r="N19" s="1"/>
    </row>
    <row x14ac:dyDescent="0.25" r="20" customHeight="1" ht="17.25">
      <c r="A20" s="1"/>
      <c r="B20" s="60"/>
      <c r="C20" s="41"/>
      <c r="D20" s="42">
        <v>7188</v>
      </c>
      <c r="E20" s="63" t="s">
        <v>301</v>
      </c>
      <c r="F20" s="43"/>
      <c r="G20" s="43"/>
      <c r="H20" s="61"/>
      <c r="I20" s="43"/>
      <c r="J20" s="43"/>
      <c r="K20" s="43"/>
      <c r="L20" s="43">
        <f>J20-K20</f>
      </c>
      <c r="M20" s="44">
        <f>J20/I20</f>
      </c>
      <c r="N20" s="1"/>
    </row>
    <row x14ac:dyDescent="0.25" r="21" customHeight="1" ht="28.2">
      <c r="A21" s="1"/>
      <c r="B21" s="13">
        <v>72</v>
      </c>
      <c r="C21" s="36"/>
      <c r="D21" s="36"/>
      <c r="E21" s="37" t="s">
        <v>14</v>
      </c>
      <c r="F21" s="58">
        <f>SUM(F22:F40)</f>
      </c>
      <c r="G21" s="58">
        <f>SUM(G22:G40)</f>
      </c>
      <c r="H21" s="58">
        <f>SUM(H22:H40)</f>
      </c>
      <c r="I21" s="58">
        <f>SUM(I22:I40)</f>
      </c>
      <c r="J21" s="58">
        <f>SUM(J22:J40)</f>
      </c>
      <c r="K21" s="58">
        <f>SUM(K22:K40)</f>
      </c>
      <c r="L21" s="58">
        <f>SUM(L22:L40)</f>
      </c>
      <c r="M21" s="39">
        <f>J21/I21</f>
      </c>
      <c r="N21" s="1"/>
    </row>
    <row x14ac:dyDescent="0.25" r="22" customHeight="1" ht="17.25">
      <c r="A22" s="1"/>
      <c r="B22" s="60"/>
      <c r="C22" s="36">
        <v>725</v>
      </c>
      <c r="D22" s="36"/>
      <c r="E22" s="37" t="s">
        <v>302</v>
      </c>
      <c r="F22" s="64"/>
      <c r="G22" s="58"/>
      <c r="H22" s="58"/>
      <c r="I22" s="58"/>
      <c r="J22" s="58"/>
      <c r="K22" s="58"/>
      <c r="L22" s="58"/>
      <c r="M22" s="59"/>
      <c r="N22" s="1"/>
    </row>
    <row x14ac:dyDescent="0.25" r="23" customHeight="1" ht="17.25">
      <c r="A23" s="1"/>
      <c r="B23" s="60"/>
      <c r="C23" s="41"/>
      <c r="D23" s="41">
        <v>7251</v>
      </c>
      <c r="E23" s="14" t="s">
        <v>303</v>
      </c>
      <c r="F23" s="64"/>
      <c r="G23" s="58"/>
      <c r="H23" s="58"/>
      <c r="I23" s="58"/>
      <c r="J23" s="58"/>
      <c r="K23" s="58"/>
      <c r="L23" s="43">
        <f>J23-K23</f>
      </c>
      <c r="M23" s="44">
        <f>J23/I23</f>
      </c>
      <c r="N23" s="1"/>
    </row>
    <row x14ac:dyDescent="0.25" r="24" customHeight="1" ht="17.25">
      <c r="A24" s="1"/>
      <c r="B24" s="60"/>
      <c r="C24" s="41"/>
      <c r="D24" s="41">
        <v>7252</v>
      </c>
      <c r="E24" s="14" t="s">
        <v>304</v>
      </c>
      <c r="F24" s="64"/>
      <c r="G24" s="58"/>
      <c r="H24" s="58"/>
      <c r="I24" s="58"/>
      <c r="J24" s="58"/>
      <c r="K24" s="58"/>
      <c r="L24" s="43">
        <f>J24-K24</f>
      </c>
      <c r="M24" s="44">
        <f>J24/I24</f>
      </c>
      <c r="N24" s="1"/>
    </row>
    <row x14ac:dyDescent="0.25" r="25" customHeight="1" ht="17.25">
      <c r="A25" s="1"/>
      <c r="B25" s="60"/>
      <c r="C25" s="41"/>
      <c r="D25" s="41">
        <v>7253</v>
      </c>
      <c r="E25" s="14" t="s">
        <v>305</v>
      </c>
      <c r="F25" s="64"/>
      <c r="G25" s="58"/>
      <c r="H25" s="58"/>
      <c r="I25" s="58"/>
      <c r="J25" s="58"/>
      <c r="K25" s="58"/>
      <c r="L25" s="43">
        <f>J25-K25</f>
      </c>
      <c r="M25" s="44">
        <f>J25/I25</f>
      </c>
      <c r="N25" s="1"/>
    </row>
    <row x14ac:dyDescent="0.25" r="26" customHeight="1" ht="17.25">
      <c r="A26" s="1"/>
      <c r="B26" s="60"/>
      <c r="C26" s="41"/>
      <c r="D26" s="41">
        <v>7254</v>
      </c>
      <c r="E26" s="14" t="s">
        <v>306</v>
      </c>
      <c r="F26" s="64"/>
      <c r="G26" s="58"/>
      <c r="H26" s="58"/>
      <c r="I26" s="58"/>
      <c r="J26" s="58"/>
      <c r="K26" s="58"/>
      <c r="L26" s="43">
        <f>J26-K26</f>
      </c>
      <c r="M26" s="44">
        <f>J26/I26</f>
      </c>
      <c r="N26" s="1"/>
    </row>
    <row x14ac:dyDescent="0.25" r="27" customHeight="1" ht="17.25">
      <c r="A27" s="1"/>
      <c r="B27" s="60"/>
      <c r="C27" s="41"/>
      <c r="D27" s="41">
        <v>7258</v>
      </c>
      <c r="E27" s="14" t="s">
        <v>307</v>
      </c>
      <c r="F27" s="64"/>
      <c r="G27" s="58"/>
      <c r="H27" s="58"/>
      <c r="I27" s="58"/>
      <c r="J27" s="58"/>
      <c r="K27" s="58"/>
      <c r="L27" s="43">
        <f>J27-K27</f>
      </c>
      <c r="M27" s="44">
        <f>J27/I27</f>
      </c>
      <c r="N27" s="1"/>
    </row>
    <row x14ac:dyDescent="0.25" r="28" customHeight="1" ht="17.25">
      <c r="A28" s="1"/>
      <c r="B28" s="60"/>
      <c r="C28" s="36">
        <v>726</v>
      </c>
      <c r="D28" s="36"/>
      <c r="E28" s="37" t="s">
        <v>308</v>
      </c>
      <c r="F28" s="64"/>
      <c r="G28" s="58"/>
      <c r="H28" s="58"/>
      <c r="I28" s="58"/>
      <c r="J28" s="58"/>
      <c r="K28" s="58"/>
      <c r="L28" s="58"/>
      <c r="M28" s="59"/>
      <c r="N28" s="1"/>
    </row>
    <row x14ac:dyDescent="0.25" r="29" customHeight="1" ht="17.25">
      <c r="A29" s="1"/>
      <c r="B29" s="60"/>
      <c r="C29" s="42"/>
      <c r="D29" s="42">
        <v>7261</v>
      </c>
      <c r="E29" s="14" t="s">
        <v>309</v>
      </c>
      <c r="F29" s="43"/>
      <c r="G29" s="64"/>
      <c r="H29" s="64"/>
      <c r="I29" s="43"/>
      <c r="J29" s="64"/>
      <c r="K29" s="64"/>
      <c r="L29" s="43">
        <f>J29-K29</f>
      </c>
      <c r="M29" s="44">
        <f>J29/I29</f>
      </c>
      <c r="N29" s="1"/>
    </row>
    <row x14ac:dyDescent="0.25" r="30" customHeight="1" ht="17.25">
      <c r="A30" s="1"/>
      <c r="B30" s="60"/>
      <c r="C30" s="41"/>
      <c r="D30" s="42">
        <v>7262</v>
      </c>
      <c r="E30" s="14" t="s">
        <v>310</v>
      </c>
      <c r="F30" s="43"/>
      <c r="G30" s="43"/>
      <c r="H30" s="61"/>
      <c r="I30" s="43"/>
      <c r="J30" s="43"/>
      <c r="K30" s="43"/>
      <c r="L30" s="43">
        <f>J30-K30</f>
      </c>
      <c r="M30" s="44">
        <f>J30/I30</f>
      </c>
      <c r="N30" s="1"/>
    </row>
    <row x14ac:dyDescent="0.25" r="31" customHeight="1" ht="17.25">
      <c r="A31" s="1"/>
      <c r="B31" s="60"/>
      <c r="C31" s="41"/>
      <c r="D31" s="42">
        <v>7263</v>
      </c>
      <c r="E31" s="14" t="s">
        <v>311</v>
      </c>
      <c r="F31" s="43"/>
      <c r="G31" s="43"/>
      <c r="H31" s="61"/>
      <c r="I31" s="43"/>
      <c r="J31" s="43"/>
      <c r="K31" s="43"/>
      <c r="L31" s="43">
        <f>J31-K31</f>
      </c>
      <c r="M31" s="44">
        <f>J31/I31</f>
      </c>
      <c r="N31" s="1"/>
    </row>
    <row x14ac:dyDescent="0.25" r="32" customHeight="1" ht="17.25">
      <c r="A32" s="1"/>
      <c r="B32" s="60"/>
      <c r="C32" s="41"/>
      <c r="D32" s="42">
        <v>7268</v>
      </c>
      <c r="E32" s="14" t="s">
        <v>312</v>
      </c>
      <c r="F32" s="43"/>
      <c r="G32" s="43"/>
      <c r="H32" s="61"/>
      <c r="I32" s="43"/>
      <c r="J32" s="43"/>
      <c r="K32" s="43"/>
      <c r="L32" s="43">
        <f>J32-K32</f>
      </c>
      <c r="M32" s="44">
        <f>J32/I32</f>
      </c>
      <c r="N32" s="1"/>
    </row>
    <row x14ac:dyDescent="0.25" r="33" customHeight="1" ht="17.25">
      <c r="A33" s="1"/>
      <c r="B33" s="60"/>
      <c r="C33" s="40">
        <v>727</v>
      </c>
      <c r="D33" s="36"/>
      <c r="E33" s="37" t="s">
        <v>313</v>
      </c>
      <c r="F33" s="43"/>
      <c r="G33" s="43"/>
      <c r="H33" s="61"/>
      <c r="I33" s="43"/>
      <c r="J33" s="43"/>
      <c r="K33" s="43"/>
      <c r="L33" s="38"/>
      <c r="M33" s="62"/>
      <c r="N33" s="1"/>
    </row>
    <row x14ac:dyDescent="0.25" r="34" customHeight="1" ht="17.25">
      <c r="A34" s="1"/>
      <c r="B34" s="60"/>
      <c r="C34" s="41"/>
      <c r="D34" s="42">
        <v>7273</v>
      </c>
      <c r="E34" s="14" t="s">
        <v>314</v>
      </c>
      <c r="F34" s="43"/>
      <c r="G34" s="43"/>
      <c r="H34" s="61"/>
      <c r="I34" s="43"/>
      <c r="J34" s="43"/>
      <c r="K34" s="43"/>
      <c r="L34" s="43">
        <f>J34-K34</f>
      </c>
      <c r="M34" s="44">
        <f>J34/I34</f>
      </c>
      <c r="N34" s="1"/>
    </row>
    <row x14ac:dyDescent="0.25" r="35" customHeight="1" ht="17.25">
      <c r="A35" s="1"/>
      <c r="B35" s="60"/>
      <c r="C35" s="41"/>
      <c r="D35" s="42">
        <v>7274</v>
      </c>
      <c r="E35" s="14" t="s">
        <v>315</v>
      </c>
      <c r="F35" s="43"/>
      <c r="G35" s="43"/>
      <c r="H35" s="61"/>
      <c r="I35" s="43"/>
      <c r="J35" s="43"/>
      <c r="K35" s="43"/>
      <c r="L35" s="43">
        <f>J35-K35</f>
      </c>
      <c r="M35" s="44">
        <f>J35/I35</f>
      </c>
      <c r="N35" s="1"/>
    </row>
    <row x14ac:dyDescent="0.25" r="36" customHeight="1" ht="17.25">
      <c r="A36" s="1"/>
      <c r="B36" s="60"/>
      <c r="C36" s="41"/>
      <c r="D36" s="42">
        <v>7276</v>
      </c>
      <c r="E36" s="14" t="s">
        <v>316</v>
      </c>
      <c r="F36" s="43"/>
      <c r="G36" s="43"/>
      <c r="H36" s="61"/>
      <c r="I36" s="43"/>
      <c r="J36" s="43"/>
      <c r="K36" s="43"/>
      <c r="L36" s="43">
        <f>J36-K36</f>
      </c>
      <c r="M36" s="44">
        <f>J36/I36</f>
      </c>
      <c r="N36" s="1"/>
    </row>
    <row x14ac:dyDescent="0.25" r="37" customHeight="1" ht="17.25">
      <c r="A37" s="1"/>
      <c r="B37" s="60"/>
      <c r="C37" s="41"/>
      <c r="D37" s="42">
        <v>7277</v>
      </c>
      <c r="E37" s="14" t="s">
        <v>317</v>
      </c>
      <c r="F37" s="43"/>
      <c r="G37" s="43"/>
      <c r="H37" s="61"/>
      <c r="I37" s="43"/>
      <c r="J37" s="43"/>
      <c r="K37" s="43"/>
      <c r="L37" s="43">
        <f>J37-K37</f>
      </c>
      <c r="M37" s="44">
        <f>J37/I37</f>
      </c>
      <c r="N37" s="1"/>
    </row>
    <row x14ac:dyDescent="0.25" r="38" customHeight="1" ht="17.25">
      <c r="A38" s="1"/>
      <c r="B38" s="60"/>
      <c r="C38" s="41"/>
      <c r="D38" s="42">
        <v>7278</v>
      </c>
      <c r="E38" s="14" t="s">
        <v>318</v>
      </c>
      <c r="F38" s="43"/>
      <c r="G38" s="43"/>
      <c r="H38" s="61"/>
      <c r="I38" s="43"/>
      <c r="J38" s="43"/>
      <c r="K38" s="43"/>
      <c r="L38" s="43">
        <f>J38-K38</f>
      </c>
      <c r="M38" s="44">
        <f>J38/I38</f>
      </c>
      <c r="N38" s="1"/>
    </row>
    <row x14ac:dyDescent="0.25" r="39" customHeight="1" ht="17.25">
      <c r="A39" s="1"/>
      <c r="B39" s="60"/>
      <c r="C39" s="40">
        <v>728</v>
      </c>
      <c r="D39" s="36"/>
      <c r="E39" s="37" t="s">
        <v>319</v>
      </c>
      <c r="F39" s="43"/>
      <c r="G39" s="43"/>
      <c r="H39" s="61"/>
      <c r="I39" s="43"/>
      <c r="J39" s="43"/>
      <c r="K39" s="43"/>
      <c r="L39" s="38"/>
      <c r="M39" s="62"/>
      <c r="N39" s="1"/>
    </row>
    <row x14ac:dyDescent="0.25" r="40" customHeight="1" ht="17.25">
      <c r="A40" s="1"/>
      <c r="B40" s="60"/>
      <c r="C40" s="41"/>
      <c r="D40" s="42">
        <v>7280</v>
      </c>
      <c r="E40" s="14" t="s">
        <v>319</v>
      </c>
      <c r="F40" s="43"/>
      <c r="G40" s="43"/>
      <c r="H40" s="61"/>
      <c r="I40" s="43"/>
      <c r="J40" s="43"/>
      <c r="K40" s="43"/>
      <c r="L40" s="43">
        <f>J40-K40</f>
      </c>
      <c r="M40" s="44">
        <f>J40/I40</f>
      </c>
      <c r="N40" s="1"/>
    </row>
    <row x14ac:dyDescent="0.25" r="41" customHeight="1" ht="28.8">
      <c r="A41" s="1"/>
      <c r="B41" s="13">
        <v>74</v>
      </c>
      <c r="C41" s="36"/>
      <c r="D41" s="36"/>
      <c r="E41" s="37" t="s">
        <v>16</v>
      </c>
      <c r="F41" s="58">
        <f>SUM(F42:F47)</f>
      </c>
      <c r="G41" s="58">
        <f>SUM(G42:G47)</f>
      </c>
      <c r="H41" s="58">
        <f>SUM(H42:H47)</f>
      </c>
      <c r="I41" s="58">
        <f>SUM(I42:I47)</f>
      </c>
      <c r="J41" s="58">
        <f>SUM(J42:J47)</f>
      </c>
      <c r="K41" s="58">
        <f>SUM(K42:K47)</f>
      </c>
      <c r="L41" s="58">
        <f>SUM(L42:L47)</f>
      </c>
      <c r="M41" s="39">
        <f>J41/I41</f>
      </c>
      <c r="N41" s="1"/>
    </row>
    <row x14ac:dyDescent="0.25" r="42" customHeight="1" ht="17.25">
      <c r="A42" s="1"/>
      <c r="B42" s="13"/>
      <c r="C42" s="36">
        <v>743</v>
      </c>
      <c r="D42" s="36"/>
      <c r="E42" s="37" t="s">
        <v>320</v>
      </c>
      <c r="F42" s="58"/>
      <c r="G42" s="58"/>
      <c r="H42" s="58"/>
      <c r="I42" s="58"/>
      <c r="J42" s="58"/>
      <c r="K42" s="58"/>
      <c r="L42" s="58"/>
      <c r="M42" s="62"/>
      <c r="N42" s="1"/>
    </row>
    <row x14ac:dyDescent="0.25" r="43" customHeight="1" ht="17.25">
      <c r="A43" s="1"/>
      <c r="B43" s="13"/>
      <c r="C43" s="36"/>
      <c r="D43" s="41">
        <v>7431</v>
      </c>
      <c r="E43" s="14" t="s">
        <v>321</v>
      </c>
      <c r="F43" s="58"/>
      <c r="G43" s="58"/>
      <c r="H43" s="58"/>
      <c r="I43" s="58"/>
      <c r="J43" s="58"/>
      <c r="K43" s="58"/>
      <c r="L43" s="43">
        <f>J43-K43</f>
      </c>
      <c r="M43" s="44">
        <f>J43/I43</f>
      </c>
      <c r="N43" s="1"/>
    </row>
    <row x14ac:dyDescent="0.25" r="44" customHeight="1" ht="17.25">
      <c r="A44" s="1"/>
      <c r="B44" s="13"/>
      <c r="C44" s="36"/>
      <c r="D44" s="41">
        <v>7432</v>
      </c>
      <c r="E44" s="14" t="s">
        <v>322</v>
      </c>
      <c r="F44" s="58"/>
      <c r="G44" s="58"/>
      <c r="H44" s="58"/>
      <c r="I44" s="58"/>
      <c r="J44" s="58"/>
      <c r="K44" s="58"/>
      <c r="L44" s="43">
        <f>J44-K44</f>
      </c>
      <c r="M44" s="44">
        <f>J44/I44</f>
      </c>
      <c r="N44" s="1"/>
    </row>
    <row x14ac:dyDescent="0.25" r="45" customHeight="1" ht="17.25">
      <c r="A45" s="1"/>
      <c r="B45" s="13"/>
      <c r="C45" s="36"/>
      <c r="D45" s="41">
        <v>7433</v>
      </c>
      <c r="E45" s="14" t="s">
        <v>323</v>
      </c>
      <c r="F45" s="58"/>
      <c r="G45" s="58"/>
      <c r="H45" s="58"/>
      <c r="I45" s="58"/>
      <c r="J45" s="58"/>
      <c r="K45" s="58"/>
      <c r="L45" s="43">
        <f>J45-K45</f>
      </c>
      <c r="M45" s="44">
        <f>J45/I45</f>
      </c>
      <c r="N45" s="1"/>
    </row>
    <row x14ac:dyDescent="0.25" r="46" customHeight="1" ht="17.25">
      <c r="A46" s="1"/>
      <c r="B46" s="13"/>
      <c r="C46" s="36">
        <v>748</v>
      </c>
      <c r="D46" s="36"/>
      <c r="E46" s="37" t="s">
        <v>324</v>
      </c>
      <c r="F46" s="58"/>
      <c r="G46" s="58"/>
      <c r="H46" s="58"/>
      <c r="I46" s="58"/>
      <c r="J46" s="58"/>
      <c r="K46" s="58"/>
      <c r="L46" s="58"/>
      <c r="M46" s="62"/>
      <c r="N46" s="1"/>
    </row>
    <row x14ac:dyDescent="0.25" r="47" customHeight="1" ht="17.25">
      <c r="A47" s="1"/>
      <c r="B47" s="13"/>
      <c r="C47" s="36"/>
      <c r="D47" s="41">
        <v>7482</v>
      </c>
      <c r="E47" s="14" t="s">
        <v>325</v>
      </c>
      <c r="F47" s="58"/>
      <c r="G47" s="58"/>
      <c r="H47" s="58"/>
      <c r="I47" s="58"/>
      <c r="J47" s="58"/>
      <c r="K47" s="58"/>
      <c r="L47" s="43">
        <f>J47-K47</f>
      </c>
      <c r="M47" s="44">
        <f>J47/I47</f>
      </c>
      <c r="N47" s="1"/>
    </row>
    <row x14ac:dyDescent="0.25" r="48" customHeight="1" ht="28.2">
      <c r="A48" s="1"/>
      <c r="B48" s="13">
        <v>75</v>
      </c>
      <c r="C48" s="36"/>
      <c r="D48" s="36"/>
      <c r="E48" s="37" t="s">
        <v>18</v>
      </c>
      <c r="F48" s="58">
        <f>SUM(F49:F60)</f>
      </c>
      <c r="G48" s="58">
        <f>SUM(G49:G60)</f>
      </c>
      <c r="H48" s="58">
        <f>SUM(H49:H60)</f>
      </c>
      <c r="I48" s="58">
        <f>SUM(I49:I60)</f>
      </c>
      <c r="J48" s="58">
        <f>SUM(J49:J60)</f>
      </c>
      <c r="K48" s="58">
        <f>SUM(K49:K60)</f>
      </c>
      <c r="L48" s="58">
        <f>SUM(L49:L60)</f>
      </c>
      <c r="M48" s="39">
        <f>J48/I48</f>
      </c>
      <c r="N48" s="1"/>
    </row>
    <row x14ac:dyDescent="0.25" r="49" customHeight="1" ht="17.25">
      <c r="A49" s="1"/>
      <c r="B49" s="60"/>
      <c r="C49" s="36">
        <v>751</v>
      </c>
      <c r="D49" s="36"/>
      <c r="E49" s="37" t="s">
        <v>326</v>
      </c>
      <c r="F49" s="58"/>
      <c r="G49" s="58"/>
      <c r="H49" s="58"/>
      <c r="I49" s="58"/>
      <c r="J49" s="58"/>
      <c r="K49" s="58"/>
      <c r="L49" s="58"/>
      <c r="M49" s="59"/>
      <c r="N49" s="1"/>
    </row>
    <row x14ac:dyDescent="0.25" r="50" customHeight="1" ht="17.25">
      <c r="A50" s="1"/>
      <c r="B50" s="60"/>
      <c r="C50" s="42"/>
      <c r="D50" s="42">
        <v>7511</v>
      </c>
      <c r="E50" s="14" t="s">
        <v>327</v>
      </c>
      <c r="F50" s="43"/>
      <c r="G50" s="43"/>
      <c r="H50" s="61"/>
      <c r="I50" s="43"/>
      <c r="J50" s="43"/>
      <c r="K50" s="43"/>
      <c r="L50" s="43">
        <f>J50-K50</f>
      </c>
      <c r="M50" s="44">
        <f>J50/I50</f>
      </c>
      <c r="N50" s="1"/>
    </row>
    <row x14ac:dyDescent="0.25" r="51" customHeight="1" ht="17.25">
      <c r="A51" s="1"/>
      <c r="B51" s="60"/>
      <c r="C51" s="42"/>
      <c r="D51" s="42">
        <v>7512</v>
      </c>
      <c r="E51" s="14" t="s">
        <v>328</v>
      </c>
      <c r="F51" s="43"/>
      <c r="G51" s="43"/>
      <c r="H51" s="61"/>
      <c r="I51" s="43"/>
      <c r="J51" s="43"/>
      <c r="K51" s="43"/>
      <c r="L51" s="43">
        <f>J51-K51</f>
      </c>
      <c r="M51" s="44">
        <f>J51/I51</f>
      </c>
      <c r="N51" s="1"/>
    </row>
    <row x14ac:dyDescent="0.25" r="52" customHeight="1" ht="17.25">
      <c r="A52" s="1"/>
      <c r="B52" s="60"/>
      <c r="C52" s="42"/>
      <c r="D52" s="42">
        <v>7513</v>
      </c>
      <c r="E52" s="14" t="s">
        <v>329</v>
      </c>
      <c r="F52" s="43"/>
      <c r="G52" s="43"/>
      <c r="H52" s="61"/>
      <c r="I52" s="43"/>
      <c r="J52" s="43"/>
      <c r="K52" s="43"/>
      <c r="L52" s="43">
        <f>J52-K52</f>
      </c>
      <c r="M52" s="44">
        <f>J52/I52</f>
      </c>
      <c r="N52" s="1"/>
    </row>
    <row x14ac:dyDescent="0.25" r="53" customHeight="1" ht="17.25">
      <c r="A53" s="1"/>
      <c r="B53" s="60"/>
      <c r="C53" s="42"/>
      <c r="D53" s="42">
        <v>7518</v>
      </c>
      <c r="E53" s="14" t="s">
        <v>330</v>
      </c>
      <c r="F53" s="43"/>
      <c r="G53" s="43"/>
      <c r="H53" s="61"/>
      <c r="I53" s="43"/>
      <c r="J53" s="43"/>
      <c r="K53" s="43"/>
      <c r="L53" s="43">
        <f>J53-K53</f>
      </c>
      <c r="M53" s="44">
        <f>J53/I53</f>
      </c>
      <c r="N53" s="1"/>
    </row>
    <row x14ac:dyDescent="0.25" r="54" customHeight="1" ht="17.25">
      <c r="A54" s="1"/>
      <c r="B54" s="60"/>
      <c r="C54" s="40">
        <v>752</v>
      </c>
      <c r="D54" s="40"/>
      <c r="E54" s="37" t="s">
        <v>331</v>
      </c>
      <c r="F54" s="43"/>
      <c r="G54" s="43"/>
      <c r="H54" s="61"/>
      <c r="I54" s="43"/>
      <c r="J54" s="43"/>
      <c r="K54" s="43"/>
      <c r="L54" s="38"/>
      <c r="M54" s="62"/>
      <c r="N54" s="1"/>
    </row>
    <row x14ac:dyDescent="0.25" r="55" customHeight="1" ht="17.25">
      <c r="A55" s="1"/>
      <c r="B55" s="60"/>
      <c r="C55" s="42"/>
      <c r="D55" s="42">
        <v>7522</v>
      </c>
      <c r="E55" s="14" t="s">
        <v>332</v>
      </c>
      <c r="F55" s="43"/>
      <c r="G55" s="43"/>
      <c r="H55" s="61"/>
      <c r="I55" s="43"/>
      <c r="J55" s="43"/>
      <c r="K55" s="43"/>
      <c r="L55" s="43">
        <f>J55-K55</f>
      </c>
      <c r="M55" s="44">
        <f>J55/I55</f>
      </c>
      <c r="N55" s="1"/>
    </row>
    <row x14ac:dyDescent="0.25" r="56" customHeight="1" ht="17.25">
      <c r="A56" s="1"/>
      <c r="B56" s="60"/>
      <c r="C56" s="42"/>
      <c r="D56" s="42">
        <v>7523</v>
      </c>
      <c r="E56" s="14" t="s">
        <v>333</v>
      </c>
      <c r="F56" s="43"/>
      <c r="G56" s="43"/>
      <c r="H56" s="61"/>
      <c r="I56" s="43"/>
      <c r="J56" s="43"/>
      <c r="K56" s="43"/>
      <c r="L56" s="43">
        <f>J56-K56</f>
      </c>
      <c r="M56" s="44">
        <f>J56/I56</f>
      </c>
      <c r="N56" s="1"/>
    </row>
    <row x14ac:dyDescent="0.25" r="57" customHeight="1" ht="17.25">
      <c r="A57" s="1"/>
      <c r="B57" s="60"/>
      <c r="C57" s="42"/>
      <c r="D57" s="42">
        <v>7524</v>
      </c>
      <c r="E57" s="14" t="s">
        <v>334</v>
      </c>
      <c r="F57" s="43"/>
      <c r="G57" s="43"/>
      <c r="H57" s="61"/>
      <c r="I57" s="43"/>
      <c r="J57" s="43"/>
      <c r="K57" s="43"/>
      <c r="L57" s="43">
        <f>J57-K57</f>
      </c>
      <c r="M57" s="44">
        <f>J57/I57</f>
      </c>
      <c r="N57" s="1"/>
    </row>
    <row x14ac:dyDescent="0.25" r="58" customHeight="1" ht="17.25">
      <c r="A58" s="1"/>
      <c r="B58" s="60"/>
      <c r="C58" s="42"/>
      <c r="D58" s="42">
        <v>7528</v>
      </c>
      <c r="E58" s="14" t="s">
        <v>335</v>
      </c>
      <c r="F58" s="43"/>
      <c r="G58" s="43"/>
      <c r="H58" s="61"/>
      <c r="I58" s="43"/>
      <c r="J58" s="43"/>
      <c r="K58" s="43"/>
      <c r="L58" s="43">
        <f>J58-K58</f>
      </c>
      <c r="M58" s="44">
        <f>J58/I58</f>
      </c>
      <c r="N58" s="1"/>
    </row>
    <row x14ac:dyDescent="0.25" r="59" customHeight="1" ht="17.25">
      <c r="A59" s="1"/>
      <c r="B59" s="60"/>
      <c r="C59" s="40">
        <v>755</v>
      </c>
      <c r="D59" s="40"/>
      <c r="E59" s="37" t="s">
        <v>336</v>
      </c>
      <c r="F59" s="43"/>
      <c r="G59" s="43"/>
      <c r="H59" s="61"/>
      <c r="I59" s="43"/>
      <c r="J59" s="43"/>
      <c r="K59" s="43"/>
      <c r="L59" s="38"/>
      <c r="M59" s="62"/>
      <c r="N59" s="1"/>
    </row>
    <row x14ac:dyDescent="0.25" r="60" customHeight="1" ht="17.25">
      <c r="A60" s="1"/>
      <c r="B60" s="60"/>
      <c r="C60" s="42"/>
      <c r="D60" s="42">
        <v>7550</v>
      </c>
      <c r="E60" s="14" t="s">
        <v>337</v>
      </c>
      <c r="F60" s="43"/>
      <c r="G60" s="43"/>
      <c r="H60" s="61"/>
      <c r="I60" s="43"/>
      <c r="J60" s="43"/>
      <c r="K60" s="43"/>
      <c r="L60" s="43">
        <f>J60-K60</f>
      </c>
      <c r="M60" s="44">
        <f>J60/I60</f>
      </c>
      <c r="N60" s="1"/>
    </row>
    <row x14ac:dyDescent="0.25" r="61" customHeight="1" ht="29.399999999999995">
      <c r="A61" s="1"/>
      <c r="B61" s="13">
        <v>76</v>
      </c>
      <c r="C61" s="40"/>
      <c r="D61" s="40"/>
      <c r="E61" s="37" t="s">
        <v>20</v>
      </c>
      <c r="F61" s="58">
        <f>SUM(F62:F73)</f>
      </c>
      <c r="G61" s="58">
        <f>SUM(G62:G73)</f>
      </c>
      <c r="H61" s="58">
        <f>SUM(H62:H73)</f>
      </c>
      <c r="I61" s="58">
        <f>SUM(I62:I73)</f>
      </c>
      <c r="J61" s="58">
        <f>SUM(J62:J73)</f>
      </c>
      <c r="K61" s="58">
        <f>SUM(K62:K73)</f>
      </c>
      <c r="L61" s="58">
        <f>SUM(L62:L73)</f>
      </c>
      <c r="M61" s="39">
        <f>J61/I61</f>
      </c>
      <c r="N61" s="1"/>
    </row>
    <row x14ac:dyDescent="0.25" r="62" customHeight="1" ht="17.25">
      <c r="A62" s="1"/>
      <c r="B62" s="60"/>
      <c r="C62" s="40">
        <v>761</v>
      </c>
      <c r="D62" s="40"/>
      <c r="E62" s="37" t="s">
        <v>338</v>
      </c>
      <c r="F62" s="43"/>
      <c r="G62" s="43"/>
      <c r="H62" s="61"/>
      <c r="I62" s="43"/>
      <c r="J62" s="43"/>
      <c r="K62" s="43"/>
      <c r="L62" s="38"/>
      <c r="M62" s="62"/>
      <c r="N62" s="1"/>
    </row>
    <row x14ac:dyDescent="0.25" r="63" customHeight="1" ht="17.25">
      <c r="A63" s="1"/>
      <c r="B63" s="60"/>
      <c r="C63" s="42"/>
      <c r="D63" s="42">
        <v>7610</v>
      </c>
      <c r="E63" s="14" t="s">
        <v>338</v>
      </c>
      <c r="F63" s="43"/>
      <c r="G63" s="43"/>
      <c r="H63" s="61"/>
      <c r="I63" s="43"/>
      <c r="J63" s="43"/>
      <c r="K63" s="43"/>
      <c r="L63" s="43">
        <f>J63-K63</f>
      </c>
      <c r="M63" s="44">
        <f>J63/I63</f>
      </c>
      <c r="N63" s="1"/>
    </row>
    <row x14ac:dyDescent="0.25" r="64" customHeight="1" ht="17.25">
      <c r="A64" s="1"/>
      <c r="B64" s="60"/>
      <c r="C64" s="40">
        <v>762</v>
      </c>
      <c r="D64" s="40"/>
      <c r="E64" s="37" t="s">
        <v>339</v>
      </c>
      <c r="F64" s="43"/>
      <c r="G64" s="43"/>
      <c r="H64" s="61"/>
      <c r="I64" s="43"/>
      <c r="J64" s="43"/>
      <c r="K64" s="43"/>
      <c r="L64" s="38"/>
      <c r="M64" s="62"/>
      <c r="N64" s="1"/>
    </row>
    <row x14ac:dyDescent="0.25" r="65" customHeight="1" ht="17.25">
      <c r="A65" s="1"/>
      <c r="B65" s="60"/>
      <c r="C65" s="42"/>
      <c r="D65" s="42">
        <v>7621</v>
      </c>
      <c r="E65" s="14" t="s">
        <v>340</v>
      </c>
      <c r="F65" s="43"/>
      <c r="G65" s="43"/>
      <c r="H65" s="61"/>
      <c r="I65" s="43"/>
      <c r="J65" s="43"/>
      <c r="K65" s="43"/>
      <c r="L65" s="43">
        <f>J65-K65</f>
      </c>
      <c r="M65" s="44">
        <f>J65/I65</f>
      </c>
      <c r="N65" s="1"/>
    </row>
    <row x14ac:dyDescent="0.25" r="66" customHeight="1" ht="17.25">
      <c r="A66" s="1"/>
      <c r="B66" s="60"/>
      <c r="C66" s="42"/>
      <c r="D66" s="42">
        <v>7622</v>
      </c>
      <c r="E66" s="14" t="s">
        <v>341</v>
      </c>
      <c r="F66" s="43"/>
      <c r="G66" s="43"/>
      <c r="H66" s="61"/>
      <c r="I66" s="43"/>
      <c r="J66" s="43"/>
      <c r="K66" s="43"/>
      <c r="L66" s="43">
        <f>J66-K66</f>
      </c>
      <c r="M66" s="44">
        <f>J66/I66</f>
      </c>
      <c r="N66" s="1"/>
    </row>
    <row x14ac:dyDescent="0.25" r="67" customHeight="1" ht="17.25">
      <c r="A67" s="1"/>
      <c r="B67" s="60"/>
      <c r="C67" s="40">
        <v>763</v>
      </c>
      <c r="D67" s="40"/>
      <c r="E67" s="37" t="s">
        <v>342</v>
      </c>
      <c r="F67" s="43"/>
      <c r="G67" s="43"/>
      <c r="H67" s="61"/>
      <c r="I67" s="43"/>
      <c r="J67" s="43"/>
      <c r="K67" s="43"/>
      <c r="L67" s="38"/>
      <c r="M67" s="62"/>
      <c r="N67" s="1"/>
    </row>
    <row x14ac:dyDescent="0.25" r="68" customHeight="1" ht="17.25">
      <c r="A68" s="1"/>
      <c r="B68" s="60"/>
      <c r="C68" s="42"/>
      <c r="D68" s="42">
        <v>7630</v>
      </c>
      <c r="E68" s="14" t="s">
        <v>342</v>
      </c>
      <c r="F68" s="43"/>
      <c r="G68" s="43"/>
      <c r="H68" s="61"/>
      <c r="I68" s="43"/>
      <c r="J68" s="43"/>
      <c r="K68" s="43"/>
      <c r="L68" s="43">
        <f>J68-K68</f>
      </c>
      <c r="M68" s="44">
        <f>J68/I68</f>
      </c>
      <c r="N68" s="1"/>
    </row>
    <row x14ac:dyDescent="0.25" r="69" customHeight="1" ht="17.25">
      <c r="A69" s="1"/>
      <c r="B69" s="60"/>
      <c r="C69" s="40">
        <v>764</v>
      </c>
      <c r="D69" s="40"/>
      <c r="E69" s="37" t="s">
        <v>343</v>
      </c>
      <c r="F69" s="43"/>
      <c r="G69" s="43"/>
      <c r="H69" s="61"/>
      <c r="I69" s="43"/>
      <c r="J69" s="43"/>
      <c r="K69" s="43"/>
      <c r="L69" s="38"/>
      <c r="M69" s="62"/>
      <c r="N69" s="1"/>
    </row>
    <row x14ac:dyDescent="0.25" r="70" customHeight="1" ht="17.25">
      <c r="A70" s="1"/>
      <c r="B70" s="60"/>
      <c r="C70" s="42"/>
      <c r="D70" s="42">
        <v>7641</v>
      </c>
      <c r="E70" s="14" t="s">
        <v>344</v>
      </c>
      <c r="F70" s="43"/>
      <c r="G70" s="43"/>
      <c r="H70" s="61"/>
      <c r="I70" s="43"/>
      <c r="J70" s="43"/>
      <c r="K70" s="43"/>
      <c r="L70" s="43">
        <f>J70-K70</f>
      </c>
      <c r="M70" s="44">
        <f>J70/I70</f>
      </c>
      <c r="N70" s="1"/>
    </row>
    <row x14ac:dyDescent="0.25" r="71" customHeight="1" ht="17.25">
      <c r="A71" s="1"/>
      <c r="B71" s="60"/>
      <c r="C71" s="42"/>
      <c r="D71" s="42">
        <v>7642</v>
      </c>
      <c r="E71" s="14" t="s">
        <v>345</v>
      </c>
      <c r="F71" s="43"/>
      <c r="G71" s="43"/>
      <c r="H71" s="61"/>
      <c r="I71" s="43"/>
      <c r="J71" s="43"/>
      <c r="K71" s="43"/>
      <c r="L71" s="43">
        <f>J71-K71</f>
      </c>
      <c r="M71" s="44">
        <f>J71/I71</f>
      </c>
      <c r="N71" s="1"/>
    </row>
    <row x14ac:dyDescent="0.25" r="72" customHeight="1" ht="17.25">
      <c r="A72" s="1"/>
      <c r="B72" s="60"/>
      <c r="C72" s="40">
        <v>768</v>
      </c>
      <c r="D72" s="40"/>
      <c r="E72" s="37" t="s">
        <v>346</v>
      </c>
      <c r="F72" s="43"/>
      <c r="G72" s="43"/>
      <c r="H72" s="61"/>
      <c r="I72" s="43"/>
      <c r="J72" s="43"/>
      <c r="K72" s="43"/>
      <c r="L72" s="38"/>
      <c r="M72" s="62"/>
      <c r="N72" s="1"/>
    </row>
    <row x14ac:dyDescent="0.25" r="73" customHeight="1" ht="17.25">
      <c r="A73" s="1"/>
      <c r="B73" s="60"/>
      <c r="C73" s="42"/>
      <c r="D73" s="42">
        <v>7680</v>
      </c>
      <c r="E73" s="14" t="s">
        <v>346</v>
      </c>
      <c r="F73" s="43"/>
      <c r="G73" s="43"/>
      <c r="H73" s="61"/>
      <c r="I73" s="43"/>
      <c r="J73" s="43"/>
      <c r="K73" s="43"/>
      <c r="L73" s="43">
        <f>J73-K73</f>
      </c>
      <c r="M73" s="44">
        <f>J73/I73</f>
      </c>
      <c r="N73" s="1"/>
    </row>
    <row x14ac:dyDescent="0.25" r="74" customHeight="1" ht="28.8">
      <c r="A74" s="1"/>
      <c r="B74" s="13">
        <v>77</v>
      </c>
      <c r="C74" s="36"/>
      <c r="D74" s="36"/>
      <c r="E74" s="37" t="s">
        <v>22</v>
      </c>
      <c r="F74" s="58">
        <f>SUM(F75:F99)</f>
      </c>
      <c r="G74" s="58">
        <f>SUM(G75:G99)</f>
      </c>
      <c r="H74" s="58">
        <f>SUM(H75:H99)</f>
      </c>
      <c r="I74" s="58">
        <f>SUM(I75:I99)</f>
      </c>
      <c r="J74" s="58">
        <f>SUM(J75:J99)</f>
      </c>
      <c r="K74" s="58">
        <f>SUM(K75:K99)</f>
      </c>
      <c r="L74" s="58">
        <f>SUM(L75:L99)</f>
      </c>
      <c r="M74" s="39">
        <f>J74/I74</f>
      </c>
      <c r="N74" s="1"/>
    </row>
    <row x14ac:dyDescent="0.25" r="75" customHeight="1" ht="17.25">
      <c r="A75" s="1"/>
      <c r="B75" s="60"/>
      <c r="C75" s="36">
        <v>771</v>
      </c>
      <c r="D75" s="36"/>
      <c r="E75" s="37" t="s">
        <v>347</v>
      </c>
      <c r="F75" s="58"/>
      <c r="G75" s="58"/>
      <c r="H75" s="58"/>
      <c r="I75" s="58"/>
      <c r="J75" s="58"/>
      <c r="K75" s="58"/>
      <c r="L75" s="58"/>
      <c r="M75" s="59"/>
      <c r="N75" s="1"/>
    </row>
    <row x14ac:dyDescent="0.25" r="76" customHeight="1" ht="17.25">
      <c r="A76" s="1"/>
      <c r="B76" s="60"/>
      <c r="C76" s="41"/>
      <c r="D76" s="41">
        <v>7711</v>
      </c>
      <c r="E76" s="14" t="s">
        <v>348</v>
      </c>
      <c r="F76" s="58"/>
      <c r="G76" s="58"/>
      <c r="H76" s="58"/>
      <c r="I76" s="58"/>
      <c r="J76" s="58"/>
      <c r="K76" s="58"/>
      <c r="L76" s="43">
        <f>J76-K76</f>
      </c>
      <c r="M76" s="44">
        <f>J76/I76</f>
      </c>
      <c r="N76" s="1"/>
    </row>
    <row x14ac:dyDescent="0.25" r="77" customHeight="1" ht="17.25">
      <c r="A77" s="1"/>
      <c r="B77" s="60"/>
      <c r="C77" s="41"/>
      <c r="D77" s="41">
        <v>7712</v>
      </c>
      <c r="E77" s="14" t="s">
        <v>349</v>
      </c>
      <c r="F77" s="58"/>
      <c r="G77" s="58"/>
      <c r="H77" s="58"/>
      <c r="I77" s="58"/>
      <c r="J77" s="58"/>
      <c r="K77" s="58"/>
      <c r="L77" s="43">
        <f>J77-K77</f>
      </c>
      <c r="M77" s="44">
        <f>J77/I77</f>
      </c>
      <c r="N77" s="1"/>
    </row>
    <row x14ac:dyDescent="0.25" r="78" customHeight="1" ht="17.25">
      <c r="A78" s="1"/>
      <c r="B78" s="60"/>
      <c r="C78" s="41"/>
      <c r="D78" s="41">
        <v>7713</v>
      </c>
      <c r="E78" s="14" t="s">
        <v>350</v>
      </c>
      <c r="F78" s="58"/>
      <c r="G78" s="58"/>
      <c r="H78" s="58"/>
      <c r="I78" s="58"/>
      <c r="J78" s="58"/>
      <c r="K78" s="58"/>
      <c r="L78" s="43">
        <f>J78-K78</f>
      </c>
      <c r="M78" s="44">
        <f>J78/I78</f>
      </c>
      <c r="N78" s="1"/>
    </row>
    <row x14ac:dyDescent="0.25" r="79" customHeight="1" ht="17.25">
      <c r="A79" s="1"/>
      <c r="B79" s="60"/>
      <c r="C79" s="42"/>
      <c r="D79" s="42">
        <v>7714</v>
      </c>
      <c r="E79" s="14" t="s">
        <v>351</v>
      </c>
      <c r="F79" s="43"/>
      <c r="G79" s="43"/>
      <c r="H79" s="43"/>
      <c r="I79" s="43"/>
      <c r="J79" s="43"/>
      <c r="K79" s="43"/>
      <c r="L79" s="43">
        <f>J79-K79</f>
      </c>
      <c r="M79" s="44">
        <f>J79/I79</f>
      </c>
      <c r="N79" s="1"/>
    </row>
    <row x14ac:dyDescent="0.25" r="80" customHeight="1" ht="17.25">
      <c r="A80" s="1"/>
      <c r="B80" s="60"/>
      <c r="C80" s="42"/>
      <c r="D80" s="42">
        <v>7715</v>
      </c>
      <c r="E80" s="14" t="s">
        <v>352</v>
      </c>
      <c r="F80" s="43"/>
      <c r="G80" s="43"/>
      <c r="H80" s="43"/>
      <c r="I80" s="43"/>
      <c r="J80" s="43"/>
      <c r="K80" s="43"/>
      <c r="L80" s="43">
        <f>J80-K80</f>
      </c>
      <c r="M80" s="44">
        <f>J80/I80</f>
      </c>
      <c r="N80" s="1"/>
    </row>
    <row x14ac:dyDescent="0.25" r="81" customHeight="1" ht="17.25">
      <c r="A81" s="1"/>
      <c r="B81" s="60"/>
      <c r="C81" s="42"/>
      <c r="D81" s="42">
        <v>7716</v>
      </c>
      <c r="E81" s="14" t="s">
        <v>353</v>
      </c>
      <c r="F81" s="43"/>
      <c r="G81" s="43"/>
      <c r="H81" s="43"/>
      <c r="I81" s="43"/>
      <c r="J81" s="43"/>
      <c r="K81" s="43"/>
      <c r="L81" s="43">
        <f>J81-K81</f>
      </c>
      <c r="M81" s="44">
        <f>J81/I81</f>
      </c>
      <c r="N81" s="1"/>
    </row>
    <row x14ac:dyDescent="0.25" r="82" customHeight="1" ht="17.25">
      <c r="A82" s="1"/>
      <c r="B82" s="60"/>
      <c r="C82" s="41"/>
      <c r="D82" s="42">
        <v>7717</v>
      </c>
      <c r="E82" s="14" t="s">
        <v>354</v>
      </c>
      <c r="F82" s="43"/>
      <c r="G82" s="43"/>
      <c r="H82" s="61"/>
      <c r="I82" s="43"/>
      <c r="J82" s="43"/>
      <c r="K82" s="43"/>
      <c r="L82" s="43">
        <f>J82-K82</f>
      </c>
      <c r="M82" s="44">
        <f>J82/I82</f>
      </c>
      <c r="N82" s="1"/>
    </row>
    <row x14ac:dyDescent="0.25" r="83" customHeight="1" ht="17.25">
      <c r="A83" s="1"/>
      <c r="B83" s="60"/>
      <c r="C83" s="41"/>
      <c r="D83" s="42">
        <v>7718</v>
      </c>
      <c r="E83" s="14" t="s">
        <v>355</v>
      </c>
      <c r="F83" s="43"/>
      <c r="G83" s="43"/>
      <c r="H83" s="61"/>
      <c r="I83" s="43"/>
      <c r="J83" s="43"/>
      <c r="K83" s="43"/>
      <c r="L83" s="43">
        <f>J83-K83</f>
      </c>
      <c r="M83" s="44">
        <f>J83/I83</f>
      </c>
      <c r="N83" s="1"/>
    </row>
    <row x14ac:dyDescent="0.25" r="84" customHeight="1" ht="17.25">
      <c r="A84" s="1"/>
      <c r="B84" s="60"/>
      <c r="C84" s="40">
        <v>772</v>
      </c>
      <c r="D84" s="36"/>
      <c r="E84" s="37" t="s">
        <v>356</v>
      </c>
      <c r="F84" s="43"/>
      <c r="G84" s="43"/>
      <c r="H84" s="61"/>
      <c r="I84" s="43"/>
      <c r="J84" s="43"/>
      <c r="K84" s="43"/>
      <c r="L84" s="38"/>
      <c r="M84" s="62"/>
      <c r="N84" s="1"/>
    </row>
    <row x14ac:dyDescent="0.25" r="85" customHeight="1" ht="17.25">
      <c r="A85" s="1"/>
      <c r="B85" s="60"/>
      <c r="C85" s="41"/>
      <c r="D85" s="42">
        <v>7721</v>
      </c>
      <c r="E85" s="14" t="s">
        <v>357</v>
      </c>
      <c r="F85" s="43"/>
      <c r="G85" s="43"/>
      <c r="H85" s="61"/>
      <c r="I85" s="43"/>
      <c r="J85" s="43"/>
      <c r="K85" s="43"/>
      <c r="L85" s="43">
        <f>J85-K85</f>
      </c>
      <c r="M85" s="44">
        <f>J85/I85</f>
      </c>
      <c r="N85" s="1"/>
    </row>
    <row x14ac:dyDescent="0.25" r="86" customHeight="1" ht="17.25">
      <c r="A86" s="1"/>
      <c r="B86" s="60"/>
      <c r="C86" s="41"/>
      <c r="D86" s="42">
        <v>7722</v>
      </c>
      <c r="E86" s="14" t="s">
        <v>358</v>
      </c>
      <c r="F86" s="43"/>
      <c r="G86" s="43"/>
      <c r="H86" s="61"/>
      <c r="I86" s="43"/>
      <c r="J86" s="43"/>
      <c r="K86" s="43"/>
      <c r="L86" s="43">
        <f>J86-K86</f>
      </c>
      <c r="M86" s="44">
        <f>J86/I86</f>
      </c>
      <c r="N86" s="1"/>
    </row>
    <row x14ac:dyDescent="0.25" r="87" customHeight="1" ht="17.25">
      <c r="A87" s="1"/>
      <c r="B87" s="60"/>
      <c r="C87" s="41"/>
      <c r="D87" s="42">
        <v>7723</v>
      </c>
      <c r="E87" s="14" t="s">
        <v>359</v>
      </c>
      <c r="F87" s="43"/>
      <c r="G87" s="43"/>
      <c r="H87" s="61"/>
      <c r="I87" s="43"/>
      <c r="J87" s="43"/>
      <c r="K87" s="43"/>
      <c r="L87" s="43">
        <f>J87-K87</f>
      </c>
      <c r="M87" s="44">
        <f>J87/I87</f>
      </c>
      <c r="N87" s="1"/>
    </row>
    <row x14ac:dyDescent="0.25" r="88" customHeight="1" ht="17.25">
      <c r="A88" s="1"/>
      <c r="B88" s="60"/>
      <c r="C88" s="41"/>
      <c r="D88" s="42">
        <v>7724</v>
      </c>
      <c r="E88" s="14" t="s">
        <v>360</v>
      </c>
      <c r="F88" s="43"/>
      <c r="G88" s="43"/>
      <c r="H88" s="61"/>
      <c r="I88" s="43"/>
      <c r="J88" s="43"/>
      <c r="K88" s="43"/>
      <c r="L88" s="43">
        <f>J88-K88</f>
      </c>
      <c r="M88" s="44">
        <f>J88/I88</f>
      </c>
      <c r="N88" s="1"/>
    </row>
    <row x14ac:dyDescent="0.25" r="89" customHeight="1" ht="17.25">
      <c r="A89" s="1"/>
      <c r="B89" s="60"/>
      <c r="C89" s="41"/>
      <c r="D89" s="42">
        <v>7725</v>
      </c>
      <c r="E89" s="14" t="s">
        <v>361</v>
      </c>
      <c r="F89" s="43"/>
      <c r="G89" s="43"/>
      <c r="H89" s="61"/>
      <c r="I89" s="43"/>
      <c r="J89" s="43"/>
      <c r="K89" s="43"/>
      <c r="L89" s="43">
        <f>J89-K89</f>
      </c>
      <c r="M89" s="44">
        <f>J89/I89</f>
      </c>
      <c r="N89" s="1"/>
    </row>
    <row x14ac:dyDescent="0.25" r="90" customHeight="1" ht="17.25">
      <c r="A90" s="1"/>
      <c r="B90" s="60"/>
      <c r="C90" s="41"/>
      <c r="D90" s="42">
        <v>7726</v>
      </c>
      <c r="E90" s="14" t="s">
        <v>362</v>
      </c>
      <c r="F90" s="43"/>
      <c r="G90" s="43"/>
      <c r="H90" s="61"/>
      <c r="I90" s="43"/>
      <c r="J90" s="43"/>
      <c r="K90" s="43"/>
      <c r="L90" s="43">
        <f>J90-K90</f>
      </c>
      <c r="M90" s="44">
        <f>J90/I90</f>
      </c>
      <c r="N90" s="1"/>
    </row>
    <row x14ac:dyDescent="0.25" r="91" customHeight="1" ht="17.25">
      <c r="A91" s="1"/>
      <c r="B91" s="60"/>
      <c r="C91" s="41"/>
      <c r="D91" s="42">
        <v>7727</v>
      </c>
      <c r="E91" s="14" t="s">
        <v>363</v>
      </c>
      <c r="F91" s="43"/>
      <c r="G91" s="43"/>
      <c r="H91" s="61"/>
      <c r="I91" s="43"/>
      <c r="J91" s="43"/>
      <c r="K91" s="43"/>
      <c r="L91" s="43">
        <f>J91-K91</f>
      </c>
      <c r="M91" s="44">
        <f>J91/I91</f>
      </c>
      <c r="N91" s="1"/>
    </row>
    <row x14ac:dyDescent="0.25" r="92" customHeight="1" ht="17.25">
      <c r="A92" s="1"/>
      <c r="B92" s="60"/>
      <c r="C92" s="41"/>
      <c r="D92" s="42">
        <v>7728</v>
      </c>
      <c r="E92" s="14" t="s">
        <v>364</v>
      </c>
      <c r="F92" s="43"/>
      <c r="G92" s="43"/>
      <c r="H92" s="61"/>
      <c r="I92" s="43"/>
      <c r="J92" s="43"/>
      <c r="K92" s="43"/>
      <c r="L92" s="43">
        <f>J92-K92</f>
      </c>
      <c r="M92" s="44">
        <f>J92/I92</f>
      </c>
      <c r="N92" s="1"/>
    </row>
    <row x14ac:dyDescent="0.25" r="93" customHeight="1" ht="17.25">
      <c r="A93" s="1"/>
      <c r="B93" s="60"/>
      <c r="C93" s="40">
        <v>773</v>
      </c>
      <c r="D93" s="36"/>
      <c r="E93" s="37" t="s">
        <v>365</v>
      </c>
      <c r="F93" s="43"/>
      <c r="G93" s="43"/>
      <c r="H93" s="61"/>
      <c r="I93" s="43"/>
      <c r="J93" s="43"/>
      <c r="K93" s="43"/>
      <c r="L93" s="38"/>
      <c r="M93" s="62"/>
      <c r="N93" s="1"/>
    </row>
    <row x14ac:dyDescent="0.25" r="94" customHeight="1" ht="17.25">
      <c r="A94" s="1"/>
      <c r="B94" s="60"/>
      <c r="C94" s="36"/>
      <c r="D94" s="42">
        <v>7731</v>
      </c>
      <c r="E94" s="14" t="s">
        <v>366</v>
      </c>
      <c r="F94" s="43"/>
      <c r="G94" s="43"/>
      <c r="H94" s="61"/>
      <c r="I94" s="43"/>
      <c r="J94" s="43"/>
      <c r="K94" s="43"/>
      <c r="L94" s="43">
        <f>J94-K94</f>
      </c>
      <c r="M94" s="44">
        <f>J94/I94</f>
      </c>
      <c r="N94" s="1"/>
    </row>
    <row x14ac:dyDescent="0.25" r="95" customHeight="1" ht="17.25">
      <c r="A95" s="1"/>
      <c r="B95" s="60"/>
      <c r="C95" s="36"/>
      <c r="D95" s="42">
        <v>7732</v>
      </c>
      <c r="E95" s="14" t="s">
        <v>367</v>
      </c>
      <c r="F95" s="43"/>
      <c r="G95" s="43"/>
      <c r="H95" s="61"/>
      <c r="I95" s="43"/>
      <c r="J95" s="43"/>
      <c r="K95" s="43"/>
      <c r="L95" s="43">
        <f>J95-K95</f>
      </c>
      <c r="M95" s="44">
        <f>J95/I95</f>
      </c>
      <c r="N95" s="1"/>
    </row>
    <row x14ac:dyDescent="0.25" r="96" customHeight="1" ht="17.25">
      <c r="A96" s="1"/>
      <c r="B96" s="60"/>
      <c r="C96" s="36"/>
      <c r="D96" s="42">
        <v>7733</v>
      </c>
      <c r="E96" s="14" t="s">
        <v>368</v>
      </c>
      <c r="F96" s="43"/>
      <c r="G96" s="43"/>
      <c r="H96" s="61"/>
      <c r="I96" s="43"/>
      <c r="J96" s="43"/>
      <c r="K96" s="43"/>
      <c r="L96" s="43">
        <f>J96-K96</f>
      </c>
      <c r="M96" s="44">
        <f>J96/I96</f>
      </c>
      <c r="N96" s="1"/>
    </row>
    <row x14ac:dyDescent="0.25" r="97" customHeight="1" ht="17.25">
      <c r="A97" s="1"/>
      <c r="B97" s="60"/>
      <c r="C97" s="36"/>
      <c r="D97" s="42">
        <v>7734</v>
      </c>
      <c r="E97" s="14" t="s">
        <v>369</v>
      </c>
      <c r="F97" s="43"/>
      <c r="G97" s="43"/>
      <c r="H97" s="61"/>
      <c r="I97" s="43"/>
      <c r="J97" s="43"/>
      <c r="K97" s="43"/>
      <c r="L97" s="43">
        <f>J97-K97</f>
      </c>
      <c r="M97" s="44">
        <f>J97/I97</f>
      </c>
      <c r="N97" s="1"/>
    </row>
    <row x14ac:dyDescent="0.25" r="98" customHeight="1" ht="17.25">
      <c r="A98" s="1"/>
      <c r="B98" s="60"/>
      <c r="C98" s="36"/>
      <c r="D98" s="42">
        <v>7735</v>
      </c>
      <c r="E98" s="14" t="s">
        <v>370</v>
      </c>
      <c r="F98" s="43"/>
      <c r="G98" s="43"/>
      <c r="H98" s="61"/>
      <c r="I98" s="43"/>
      <c r="J98" s="43"/>
      <c r="K98" s="43"/>
      <c r="L98" s="43">
        <f>J98-K98</f>
      </c>
      <c r="M98" s="44">
        <f>J98/I98</f>
      </c>
      <c r="N98" s="1"/>
    </row>
    <row x14ac:dyDescent="0.25" r="99" customHeight="1" ht="17.25">
      <c r="A99" s="1"/>
      <c r="B99" s="60"/>
      <c r="C99" s="36"/>
      <c r="D99" s="42">
        <v>7738</v>
      </c>
      <c r="E99" s="14" t="s">
        <v>136</v>
      </c>
      <c r="F99" s="43"/>
      <c r="G99" s="43"/>
      <c r="H99" s="61"/>
      <c r="I99" s="43"/>
      <c r="J99" s="43"/>
      <c r="K99" s="43"/>
      <c r="L99" s="43">
        <f>J99-K99</f>
      </c>
      <c r="M99" s="44">
        <f>J99/I99</f>
      </c>
      <c r="N99" s="1"/>
    </row>
    <row x14ac:dyDescent="0.25" r="100" customHeight="1" ht="29.399999999999995">
      <c r="A100" s="1"/>
      <c r="B100" s="15"/>
      <c r="C100" s="45"/>
      <c r="D100" s="45"/>
      <c r="E100" s="16" t="s">
        <v>371</v>
      </c>
      <c r="F100" s="46">
        <f>F8+F11+F21+F41+F48+F61+F74</f>
      </c>
      <c r="G100" s="46">
        <f>G8+G11+G21+G41+G48+G61+G74</f>
      </c>
      <c r="H100" s="46">
        <f>H8+H11+H21+H41+H48+H61+H74</f>
      </c>
      <c r="I100" s="46">
        <f>I8+I11+I21+I41+I48+I61+I74</f>
      </c>
      <c r="J100" s="46">
        <f>J8+J11+J21+J41+J48+J61+J74</f>
      </c>
      <c r="K100" s="46">
        <f>K8+K11+K21+K41+K48+K61+K74</f>
      </c>
      <c r="L100" s="46">
        <f>L8+L11+L21+L41+L48+L61+L74</f>
      </c>
      <c r="M100" s="39">
        <f>J100/I100</f>
      </c>
      <c r="N100" s="1"/>
    </row>
    <row x14ac:dyDescent="0.25" r="101" customHeight="1" ht="17.25">
      <c r="A101" s="1"/>
      <c r="B101" s="60"/>
      <c r="C101" s="40">
        <v>774</v>
      </c>
      <c r="D101" s="36"/>
      <c r="E101" s="37" t="s">
        <v>372</v>
      </c>
      <c r="F101" s="43"/>
      <c r="G101" s="43"/>
      <c r="H101" s="43"/>
      <c r="I101" s="43"/>
      <c r="J101" s="43"/>
      <c r="K101" s="43"/>
      <c r="L101" s="43"/>
      <c r="M101" s="65"/>
      <c r="N101" s="1"/>
    </row>
    <row x14ac:dyDescent="0.25" r="102" customHeight="1" ht="17.25">
      <c r="A102" s="1"/>
      <c r="B102" s="60"/>
      <c r="C102" s="41"/>
      <c r="D102" s="42">
        <v>7741</v>
      </c>
      <c r="E102" s="14" t="s">
        <v>373</v>
      </c>
      <c r="F102" s="43"/>
      <c r="G102" s="43"/>
      <c r="H102" s="43"/>
      <c r="I102" s="43"/>
      <c r="J102" s="43"/>
      <c r="K102" s="43"/>
      <c r="L102" s="43">
        <f>J102-K102</f>
      </c>
      <c r="M102" s="44">
        <f>J102/I102</f>
      </c>
      <c r="N102" s="1"/>
    </row>
    <row x14ac:dyDescent="0.25" r="103" customHeight="1" ht="17.25">
      <c r="A103" s="1"/>
      <c r="B103" s="60"/>
      <c r="C103" s="41"/>
      <c r="D103" s="42">
        <v>7742</v>
      </c>
      <c r="E103" s="14" t="s">
        <v>374</v>
      </c>
      <c r="F103" s="43"/>
      <c r="G103" s="43"/>
      <c r="H103" s="43"/>
      <c r="I103" s="43"/>
      <c r="J103" s="43"/>
      <c r="K103" s="43"/>
      <c r="L103" s="43">
        <f>J103-K103</f>
      </c>
      <c r="M103" s="44">
        <f>J103/I103</f>
      </c>
      <c r="N103" s="1"/>
    </row>
    <row x14ac:dyDescent="0.25" r="104" customHeight="1" ht="28.8">
      <c r="A104" s="1"/>
      <c r="B104" s="15"/>
      <c r="C104" s="45"/>
      <c r="D104" s="45"/>
      <c r="E104" s="16" t="s">
        <v>375</v>
      </c>
      <c r="F104" s="46">
        <f>SUM(F101:F103)</f>
      </c>
      <c r="G104" s="46">
        <f>SUM(G101:G103)</f>
      </c>
      <c r="H104" s="46">
        <f>SUM(H101:H103)</f>
      </c>
      <c r="I104" s="46">
        <f>SUM(I101:I103)</f>
      </c>
      <c r="J104" s="46">
        <f>SUM(J101:J103)</f>
      </c>
      <c r="K104" s="46">
        <f>SUM(K101:K103)</f>
      </c>
      <c r="L104" s="46">
        <f>SUM(L101:L103)</f>
      </c>
      <c r="M104" s="39">
        <f>J104/I104</f>
      </c>
      <c r="N104" s="1"/>
    </row>
    <row x14ac:dyDescent="0.25" r="105" customHeight="1" ht="29.399999999999995">
      <c r="A105" s="1"/>
      <c r="B105" s="15"/>
      <c r="C105" s="45"/>
      <c r="D105" s="45"/>
      <c r="E105" s="16" t="s">
        <v>206</v>
      </c>
      <c r="F105" s="46">
        <f>F100+F104</f>
      </c>
      <c r="G105" s="46">
        <f>G100+G104</f>
      </c>
      <c r="H105" s="46">
        <f>H100+H104</f>
      </c>
      <c r="I105" s="46">
        <f>I100+I104</f>
      </c>
      <c r="J105" s="46">
        <f>J100+J104</f>
      </c>
      <c r="K105" s="46">
        <f>K100+K104</f>
      </c>
      <c r="L105" s="46">
        <f>L100+L104</f>
      </c>
      <c r="M105" s="39">
        <f>J105/I105</f>
      </c>
      <c r="N105" s="1"/>
    </row>
    <row x14ac:dyDescent="0.25" r="106" customHeight="1" ht="17.25">
      <c r="A106" s="1"/>
      <c r="B106" s="19"/>
      <c r="C106" s="51"/>
      <c r="D106" s="51"/>
      <c r="E106" s="8"/>
      <c r="F106" s="7"/>
      <c r="G106" s="7"/>
      <c r="H106" s="26"/>
      <c r="I106" s="7"/>
      <c r="J106" s="7"/>
      <c r="K106" s="7"/>
      <c r="L106" s="7"/>
      <c r="M106" s="8"/>
      <c r="N106" s="1"/>
    </row>
    <row x14ac:dyDescent="0.25" r="107" customHeight="1" ht="25.8">
      <c r="A107" s="1"/>
      <c r="B107" s="29" t="s">
        <v>376</v>
      </c>
      <c r="C107" s="29"/>
      <c r="D107" s="29"/>
      <c r="E107" s="30"/>
      <c r="F107" s="31"/>
      <c r="G107" s="31"/>
      <c r="H107" s="31"/>
      <c r="I107" s="31"/>
      <c r="J107" s="31"/>
      <c r="K107" s="31"/>
      <c r="L107" s="31"/>
      <c r="M107" s="30"/>
      <c r="N107" s="1"/>
    </row>
    <row x14ac:dyDescent="0.25" r="108" customHeight="1" ht="44.4">
      <c r="A108" s="1"/>
      <c r="B108" s="32" t="s">
        <v>4</v>
      </c>
      <c r="C108" s="66"/>
      <c r="D108" s="67"/>
      <c r="E108" s="68" t="s">
        <v>35</v>
      </c>
      <c r="F108" s="57" t="s">
        <v>53</v>
      </c>
      <c r="G108" s="57" t="s">
        <v>54</v>
      </c>
      <c r="H108" s="35" t="s">
        <v>55</v>
      </c>
      <c r="I108" s="57" t="s">
        <v>56</v>
      </c>
      <c r="J108" s="57" t="s">
        <v>290</v>
      </c>
      <c r="K108" s="57" t="s">
        <v>291</v>
      </c>
      <c r="L108" s="57" t="s">
        <v>292</v>
      </c>
      <c r="M108" s="56" t="s">
        <v>377</v>
      </c>
      <c r="N108" s="1"/>
    </row>
    <row x14ac:dyDescent="0.25" r="109" customHeight="1" ht="29.399999999999995">
      <c r="A109" s="1"/>
      <c r="B109" s="13">
        <v>10</v>
      </c>
      <c r="C109" s="36"/>
      <c r="D109" s="36"/>
      <c r="E109" s="37" t="s">
        <v>37</v>
      </c>
      <c r="F109" s="58">
        <f>SUM(F110:F122)</f>
      </c>
      <c r="G109" s="58">
        <f>SUM(G110:G122)</f>
      </c>
      <c r="H109" s="58">
        <f>SUM(H110:H122)</f>
      </c>
      <c r="I109" s="58">
        <f>SUM(I110:I122)</f>
      </c>
      <c r="J109" s="58">
        <f>SUM(J110:J122)</f>
      </c>
      <c r="K109" s="58">
        <f>SUM(K110:K122)</f>
      </c>
      <c r="L109" s="58">
        <f>SUM(L110:L122)</f>
      </c>
      <c r="M109" s="39">
        <f>J109/I109</f>
      </c>
      <c r="N109" s="1"/>
    </row>
    <row x14ac:dyDescent="0.25" r="110" customHeight="1" ht="17.25">
      <c r="A110" s="1"/>
      <c r="B110" s="13"/>
      <c r="C110" s="36">
        <v>101</v>
      </c>
      <c r="D110" s="36"/>
      <c r="E110" s="37" t="s">
        <v>378</v>
      </c>
      <c r="F110" s="58"/>
      <c r="G110" s="58"/>
      <c r="H110" s="58"/>
      <c r="I110" s="58"/>
      <c r="J110" s="58"/>
      <c r="K110" s="58"/>
      <c r="L110" s="58"/>
      <c r="M110" s="59"/>
      <c r="N110" s="1"/>
    </row>
    <row x14ac:dyDescent="0.25" r="111" customHeight="1" ht="17.25">
      <c r="A111" s="1"/>
      <c r="B111" s="60"/>
      <c r="C111" s="41"/>
      <c r="D111" s="42">
        <v>1011</v>
      </c>
      <c r="E111" s="14" t="s">
        <v>379</v>
      </c>
      <c r="F111" s="43"/>
      <c r="G111" s="43"/>
      <c r="H111" s="61"/>
      <c r="I111" s="43"/>
      <c r="J111" s="43"/>
      <c r="K111" s="43"/>
      <c r="L111" s="43">
        <f>J111-K111</f>
      </c>
      <c r="M111" s="44">
        <f>J111/I111</f>
      </c>
      <c r="N111" s="1"/>
    </row>
    <row x14ac:dyDescent="0.25" r="112" customHeight="1" ht="17.25">
      <c r="A112" s="1"/>
      <c r="B112" s="60"/>
      <c r="C112" s="41"/>
      <c r="D112" s="42">
        <v>1012</v>
      </c>
      <c r="E112" s="14" t="s">
        <v>380</v>
      </c>
      <c r="F112" s="43"/>
      <c r="G112" s="43"/>
      <c r="H112" s="61"/>
      <c r="I112" s="43"/>
      <c r="J112" s="43"/>
      <c r="K112" s="43"/>
      <c r="L112" s="43">
        <f>J112-K112</f>
      </c>
      <c r="M112" s="44">
        <f>J112/I112</f>
      </c>
      <c r="N112" s="1"/>
    </row>
    <row x14ac:dyDescent="0.25" r="113" customHeight="1" ht="17.25">
      <c r="A113" s="1"/>
      <c r="B113" s="60"/>
      <c r="C113" s="41"/>
      <c r="D113" s="42">
        <v>1013</v>
      </c>
      <c r="E113" s="14" t="s">
        <v>381</v>
      </c>
      <c r="F113" s="43"/>
      <c r="G113" s="43"/>
      <c r="H113" s="61"/>
      <c r="I113" s="43"/>
      <c r="J113" s="43"/>
      <c r="K113" s="43"/>
      <c r="L113" s="43">
        <f>J113-K113</f>
      </c>
      <c r="M113" s="44">
        <f>J113/I113</f>
      </c>
      <c r="N113" s="1"/>
    </row>
    <row x14ac:dyDescent="0.25" r="114" customHeight="1" ht="17.25">
      <c r="A114" s="1"/>
      <c r="B114" s="60"/>
      <c r="C114" s="41"/>
      <c r="D114" s="42">
        <v>1014</v>
      </c>
      <c r="E114" s="14" t="s">
        <v>382</v>
      </c>
      <c r="F114" s="43"/>
      <c r="G114" s="43"/>
      <c r="H114" s="61"/>
      <c r="I114" s="43"/>
      <c r="J114" s="43"/>
      <c r="K114" s="43"/>
      <c r="L114" s="43">
        <f>J114-K114</f>
      </c>
      <c r="M114" s="44">
        <f>J114/I114</f>
      </c>
      <c r="N114" s="1"/>
    </row>
    <row x14ac:dyDescent="0.25" r="115" customHeight="1" ht="17.25">
      <c r="A115" s="1"/>
      <c r="B115" s="60"/>
      <c r="C115" s="41"/>
      <c r="D115" s="42">
        <v>1015</v>
      </c>
      <c r="E115" s="14" t="s">
        <v>383</v>
      </c>
      <c r="F115" s="43"/>
      <c r="G115" s="43"/>
      <c r="H115" s="61"/>
      <c r="I115" s="43"/>
      <c r="J115" s="43"/>
      <c r="K115" s="43"/>
      <c r="L115" s="43">
        <f>J115-K115</f>
      </c>
      <c r="M115" s="44">
        <f>J115/I115</f>
      </c>
      <c r="N115" s="1"/>
    </row>
    <row x14ac:dyDescent="0.25" r="116" customHeight="1" ht="17.25">
      <c r="A116" s="1"/>
      <c r="B116" s="60"/>
      <c r="C116" s="41"/>
      <c r="D116" s="42">
        <v>1016</v>
      </c>
      <c r="E116" s="14" t="s">
        <v>384</v>
      </c>
      <c r="F116" s="43"/>
      <c r="G116" s="43"/>
      <c r="H116" s="61"/>
      <c r="I116" s="43"/>
      <c r="J116" s="43"/>
      <c r="K116" s="43"/>
      <c r="L116" s="43">
        <f>J116-K116</f>
      </c>
      <c r="M116" s="44">
        <f>J116/I116</f>
      </c>
      <c r="N116" s="1"/>
    </row>
    <row x14ac:dyDescent="0.25" r="117" customHeight="1" ht="17.25">
      <c r="A117" s="1"/>
      <c r="B117" s="60"/>
      <c r="C117" s="41"/>
      <c r="D117" s="42">
        <v>1017</v>
      </c>
      <c r="E117" s="14" t="s">
        <v>385</v>
      </c>
      <c r="F117" s="43"/>
      <c r="G117" s="43"/>
      <c r="H117" s="61"/>
      <c r="I117" s="43"/>
      <c r="J117" s="43"/>
      <c r="K117" s="43"/>
      <c r="L117" s="43">
        <f>J117-K117</f>
      </c>
      <c r="M117" s="44">
        <f>J117/I117</f>
      </c>
      <c r="N117" s="1"/>
    </row>
    <row x14ac:dyDescent="0.25" r="118" customHeight="1" ht="17.25">
      <c r="A118" s="1"/>
      <c r="B118" s="60"/>
      <c r="C118" s="41"/>
      <c r="D118" s="42">
        <v>1018</v>
      </c>
      <c r="E118" s="14" t="s">
        <v>136</v>
      </c>
      <c r="F118" s="43"/>
      <c r="G118" s="43"/>
      <c r="H118" s="61"/>
      <c r="I118" s="43"/>
      <c r="J118" s="43"/>
      <c r="K118" s="43"/>
      <c r="L118" s="43">
        <f>J118-K118</f>
      </c>
      <c r="M118" s="44">
        <f>J118/I118</f>
      </c>
      <c r="N118" s="1"/>
    </row>
    <row x14ac:dyDescent="0.25" r="119" customHeight="1" ht="17.25">
      <c r="A119" s="1"/>
      <c r="B119" s="60"/>
      <c r="C119" s="40">
        <v>106</v>
      </c>
      <c r="D119" s="36"/>
      <c r="E119" s="37" t="s">
        <v>386</v>
      </c>
      <c r="F119" s="43"/>
      <c r="G119" s="43"/>
      <c r="H119" s="61"/>
      <c r="I119" s="43"/>
      <c r="J119" s="43"/>
      <c r="K119" s="43"/>
      <c r="L119" s="43"/>
      <c r="M119" s="62"/>
      <c r="N119" s="1"/>
    </row>
    <row x14ac:dyDescent="0.25" r="120" customHeight="1" ht="17.25">
      <c r="A120" s="1"/>
      <c r="B120" s="60"/>
      <c r="C120" s="41"/>
      <c r="D120" s="42">
        <v>1061</v>
      </c>
      <c r="E120" s="14" t="s">
        <v>387</v>
      </c>
      <c r="F120" s="43"/>
      <c r="G120" s="43"/>
      <c r="H120" s="61"/>
      <c r="I120" s="43"/>
      <c r="J120" s="43"/>
      <c r="K120" s="43"/>
      <c r="L120" s="43">
        <f>J120-K120</f>
      </c>
      <c r="M120" s="44">
        <f>J120/I120</f>
      </c>
      <c r="N120" s="1"/>
    </row>
    <row x14ac:dyDescent="0.25" r="121" customHeight="1" ht="17.25">
      <c r="A121" s="1"/>
      <c r="B121" s="60"/>
      <c r="C121" s="41"/>
      <c r="D121" s="42">
        <v>1064</v>
      </c>
      <c r="E121" s="14" t="s">
        <v>388</v>
      </c>
      <c r="F121" s="43"/>
      <c r="G121" s="43"/>
      <c r="H121" s="61"/>
      <c r="I121" s="43"/>
      <c r="J121" s="43"/>
      <c r="K121" s="43"/>
      <c r="L121" s="43">
        <f>J121-K121</f>
      </c>
      <c r="M121" s="44">
        <f>J121/I121</f>
      </c>
      <c r="N121" s="1"/>
    </row>
    <row x14ac:dyDescent="0.25" r="122" customHeight="1" ht="17.25">
      <c r="A122" s="1"/>
      <c r="B122" s="60"/>
      <c r="C122" s="41"/>
      <c r="D122" s="42">
        <v>1068</v>
      </c>
      <c r="E122" s="14" t="s">
        <v>389</v>
      </c>
      <c r="F122" s="43"/>
      <c r="G122" s="43"/>
      <c r="H122" s="61"/>
      <c r="I122" s="43"/>
      <c r="J122" s="43"/>
      <c r="K122" s="43"/>
      <c r="L122" s="43">
        <f>J122-K122</f>
      </c>
      <c r="M122" s="44">
        <f>J122/I122</f>
      </c>
      <c r="N122" s="1"/>
    </row>
    <row x14ac:dyDescent="0.25" r="123" customHeight="1" ht="28.8">
      <c r="A123" s="1"/>
      <c r="B123" s="13">
        <v>13</v>
      </c>
      <c r="C123" s="36"/>
      <c r="D123" s="36"/>
      <c r="E123" s="37" t="s">
        <v>39</v>
      </c>
      <c r="F123" s="58">
        <f>SUM(F124:F132)</f>
      </c>
      <c r="G123" s="58">
        <f>SUM(G124:G132)</f>
      </c>
      <c r="H123" s="58">
        <f>SUM(H124:H132)</f>
      </c>
      <c r="I123" s="58">
        <f>SUM(I124:I132)</f>
      </c>
      <c r="J123" s="58">
        <f>SUM(J124:J132)</f>
      </c>
      <c r="K123" s="58">
        <f>SUM(K124:K132)</f>
      </c>
      <c r="L123" s="58">
        <f>SUM(L124:L132)</f>
      </c>
      <c r="M123" s="39">
        <f>J123/I123</f>
      </c>
      <c r="N123" s="1"/>
    </row>
    <row x14ac:dyDescent="0.25" r="124" customHeight="1" ht="17.25">
      <c r="A124" s="1"/>
      <c r="B124" s="13"/>
      <c r="C124" s="36">
        <v>131</v>
      </c>
      <c r="D124" s="36"/>
      <c r="E124" s="37" t="s">
        <v>390</v>
      </c>
      <c r="F124" s="58"/>
      <c r="G124" s="58"/>
      <c r="H124" s="58"/>
      <c r="I124" s="58"/>
      <c r="J124" s="58"/>
      <c r="K124" s="58"/>
      <c r="L124" s="58"/>
      <c r="M124" s="59"/>
      <c r="N124" s="1"/>
    </row>
    <row x14ac:dyDescent="0.25" r="125" customHeight="1" ht="17.25">
      <c r="A125" s="1"/>
      <c r="B125" s="60"/>
      <c r="C125" s="41"/>
      <c r="D125" s="42">
        <v>1311</v>
      </c>
      <c r="E125" s="14" t="s">
        <v>391</v>
      </c>
      <c r="F125" s="43"/>
      <c r="G125" s="43"/>
      <c r="H125" s="61"/>
      <c r="I125" s="43"/>
      <c r="J125" s="43"/>
      <c r="K125" s="43"/>
      <c r="L125" s="43">
        <f>J125-K125</f>
      </c>
      <c r="M125" s="44">
        <f>J125/I125</f>
      </c>
      <c r="N125" s="1"/>
    </row>
    <row x14ac:dyDescent="0.25" r="126" customHeight="1" ht="17.25">
      <c r="A126" s="1"/>
      <c r="B126" s="60"/>
      <c r="C126" s="41"/>
      <c r="D126" s="42">
        <v>1312</v>
      </c>
      <c r="E126" s="14" t="s">
        <v>392</v>
      </c>
      <c r="F126" s="43"/>
      <c r="G126" s="43"/>
      <c r="H126" s="61"/>
      <c r="I126" s="43"/>
      <c r="J126" s="43"/>
      <c r="K126" s="43"/>
      <c r="L126" s="43">
        <f>J126-K126</f>
      </c>
      <c r="M126" s="44">
        <f>J126/I126</f>
      </c>
      <c r="N126" s="1"/>
    </row>
    <row x14ac:dyDescent="0.25" r="127" customHeight="1" ht="17.25">
      <c r="A127" s="1"/>
      <c r="B127" s="60"/>
      <c r="C127" s="41"/>
      <c r="D127" s="42">
        <v>1313</v>
      </c>
      <c r="E127" s="14" t="s">
        <v>393</v>
      </c>
      <c r="F127" s="43"/>
      <c r="G127" s="43"/>
      <c r="H127" s="61"/>
      <c r="I127" s="43"/>
      <c r="J127" s="43"/>
      <c r="K127" s="43"/>
      <c r="L127" s="43">
        <f>J128-K128</f>
      </c>
      <c r="M127" s="44">
        <f>J127/I127</f>
      </c>
      <c r="N127" s="1"/>
    </row>
    <row x14ac:dyDescent="0.25" r="128" customHeight="1" ht="17.25">
      <c r="A128" s="1"/>
      <c r="B128" s="60"/>
      <c r="C128" s="41"/>
      <c r="D128" s="42">
        <v>1314</v>
      </c>
      <c r="E128" s="14" t="s">
        <v>394</v>
      </c>
      <c r="F128" s="43"/>
      <c r="G128" s="43"/>
      <c r="H128" s="61"/>
      <c r="I128" s="43"/>
      <c r="J128" s="43"/>
      <c r="K128" s="43"/>
      <c r="L128" s="43">
        <f>J129-K129</f>
      </c>
      <c r="M128" s="44">
        <f>J128/I128</f>
      </c>
      <c r="N128" s="1"/>
    </row>
    <row x14ac:dyDescent="0.25" r="129" customHeight="1" ht="17.25">
      <c r="A129" s="1"/>
      <c r="B129" s="60"/>
      <c r="C129" s="41"/>
      <c r="D129" s="42">
        <v>1315</v>
      </c>
      <c r="E129" s="14" t="s">
        <v>395</v>
      </c>
      <c r="F129" s="43"/>
      <c r="G129" s="43"/>
      <c r="H129" s="61"/>
      <c r="I129" s="43"/>
      <c r="J129" s="43"/>
      <c r="K129" s="43"/>
      <c r="L129" s="43">
        <f>J130-K130</f>
      </c>
      <c r="M129" s="44">
        <f>J129/I129</f>
      </c>
      <c r="N129" s="1"/>
    </row>
    <row x14ac:dyDescent="0.25" r="130" customHeight="1" ht="17.25">
      <c r="A130" s="1"/>
      <c r="B130" s="60"/>
      <c r="C130" s="41"/>
      <c r="D130" s="42">
        <v>1318</v>
      </c>
      <c r="E130" s="14" t="s">
        <v>396</v>
      </c>
      <c r="F130" s="43"/>
      <c r="G130" s="43"/>
      <c r="H130" s="61"/>
      <c r="I130" s="43"/>
      <c r="J130" s="43"/>
      <c r="K130" s="43"/>
      <c r="L130" s="43">
        <f>J131-K131</f>
      </c>
      <c r="M130" s="44">
        <f>J130/I130</f>
      </c>
      <c r="N130" s="1"/>
    </row>
    <row x14ac:dyDescent="0.25" r="131" customHeight="1" ht="17.25">
      <c r="A131" s="1"/>
      <c r="B131" s="60"/>
      <c r="C131" s="40">
        <v>139</v>
      </c>
      <c r="D131" s="36"/>
      <c r="E131" s="37" t="s">
        <v>397</v>
      </c>
      <c r="F131" s="43"/>
      <c r="G131" s="43"/>
      <c r="H131" s="61"/>
      <c r="I131" s="43"/>
      <c r="J131" s="43"/>
      <c r="K131" s="43"/>
      <c r="L131" s="43"/>
      <c r="M131" s="62"/>
      <c r="N131" s="1"/>
    </row>
    <row x14ac:dyDescent="0.25" r="132" customHeight="1" ht="17.25">
      <c r="A132" s="1"/>
      <c r="B132" s="60"/>
      <c r="C132" s="41"/>
      <c r="D132" s="42">
        <v>1390</v>
      </c>
      <c r="E132" s="14" t="s">
        <v>397</v>
      </c>
      <c r="F132" s="43"/>
      <c r="G132" s="43"/>
      <c r="H132" s="61"/>
      <c r="I132" s="43"/>
      <c r="J132" s="43"/>
      <c r="K132" s="43"/>
      <c r="L132" s="43">
        <f>J132-K132</f>
      </c>
      <c r="M132" s="44">
        <f>J132/I132</f>
      </c>
      <c r="N132" s="1"/>
    </row>
    <row x14ac:dyDescent="0.25" r="133" customHeight="1" ht="28.8">
      <c r="A133" s="1"/>
      <c r="B133" s="13">
        <v>14</v>
      </c>
      <c r="C133" s="36"/>
      <c r="D133" s="36"/>
      <c r="E133" s="37" t="s">
        <v>41</v>
      </c>
      <c r="F133" s="58">
        <f>SUM(F134:F151)</f>
      </c>
      <c r="G133" s="58">
        <f>SUM(G134:G151)</f>
      </c>
      <c r="H133" s="58">
        <f>SUM(H134:H151)</f>
      </c>
      <c r="I133" s="58">
        <f>SUM(I134:I151)</f>
      </c>
      <c r="J133" s="58">
        <f>SUM(J134:J151)</f>
      </c>
      <c r="K133" s="58">
        <f>SUM(K134:K151)</f>
      </c>
      <c r="L133" s="58">
        <f>SUM(L134:L151)</f>
      </c>
      <c r="M133" s="39">
        <f>J133/I133</f>
      </c>
      <c r="N133" s="1"/>
    </row>
    <row x14ac:dyDescent="0.25" r="134" customHeight="1" ht="17.25">
      <c r="A134" s="1"/>
      <c r="B134" s="13"/>
      <c r="C134" s="36">
        <v>141</v>
      </c>
      <c r="D134" s="36"/>
      <c r="E134" s="37" t="s">
        <v>398</v>
      </c>
      <c r="F134" s="58"/>
      <c r="G134" s="58"/>
      <c r="H134" s="58"/>
      <c r="I134" s="58"/>
      <c r="J134" s="58"/>
      <c r="K134" s="58"/>
      <c r="L134" s="58"/>
      <c r="M134" s="59"/>
      <c r="N134" s="1"/>
    </row>
    <row x14ac:dyDescent="0.25" r="135" customHeight="1" ht="17.25">
      <c r="A135" s="1"/>
      <c r="B135" s="13"/>
      <c r="C135" s="36"/>
      <c r="D135" s="41">
        <v>1411</v>
      </c>
      <c r="E135" s="14" t="s">
        <v>216</v>
      </c>
      <c r="F135" s="58"/>
      <c r="G135" s="58"/>
      <c r="H135" s="58"/>
      <c r="I135" s="58"/>
      <c r="J135" s="58"/>
      <c r="K135" s="58"/>
      <c r="L135" s="43">
        <f>J135-K135</f>
      </c>
      <c r="M135" s="44">
        <f>J135/I135</f>
      </c>
      <c r="N135" s="1"/>
    </row>
    <row x14ac:dyDescent="0.25" r="136" customHeight="1" ht="17.25">
      <c r="A136" s="1"/>
      <c r="B136" s="13"/>
      <c r="C136" s="36"/>
      <c r="D136" s="41">
        <v>1415</v>
      </c>
      <c r="E136" s="14" t="s">
        <v>399</v>
      </c>
      <c r="F136" s="58"/>
      <c r="G136" s="58"/>
      <c r="H136" s="58"/>
      <c r="I136" s="58"/>
      <c r="J136" s="58"/>
      <c r="K136" s="58"/>
      <c r="L136" s="43">
        <f>J136-K136</f>
      </c>
      <c r="M136" s="44">
        <f>J136/I136</f>
      </c>
      <c r="N136" s="1"/>
    </row>
    <row x14ac:dyDescent="0.25" r="137" customHeight="1" ht="17.25">
      <c r="A137" s="1"/>
      <c r="B137" s="13"/>
      <c r="C137" s="36"/>
      <c r="D137" s="41">
        <v>1418</v>
      </c>
      <c r="E137" s="14" t="s">
        <v>400</v>
      </c>
      <c r="F137" s="58"/>
      <c r="G137" s="58"/>
      <c r="H137" s="58"/>
      <c r="I137" s="58"/>
      <c r="J137" s="58"/>
      <c r="K137" s="58"/>
      <c r="L137" s="43">
        <f>J137-K137</f>
      </c>
      <c r="M137" s="44">
        <f>J137/I137</f>
      </c>
      <c r="N137" s="1"/>
    </row>
    <row x14ac:dyDescent="0.25" r="138" customHeight="1" ht="17.25">
      <c r="A138" s="1"/>
      <c r="B138" s="13"/>
      <c r="C138" s="36">
        <v>142</v>
      </c>
      <c r="D138" s="36"/>
      <c r="E138" s="37" t="s">
        <v>401</v>
      </c>
      <c r="F138" s="58"/>
      <c r="G138" s="58"/>
      <c r="H138" s="58"/>
      <c r="I138" s="58"/>
      <c r="J138" s="58"/>
      <c r="K138" s="58"/>
      <c r="L138" s="58"/>
      <c r="M138" s="59"/>
      <c r="N138" s="1"/>
    </row>
    <row x14ac:dyDescent="0.25" r="139" customHeight="1" ht="17.25">
      <c r="A139" s="1"/>
      <c r="B139" s="13"/>
      <c r="C139" s="36"/>
      <c r="D139" s="42">
        <v>1421</v>
      </c>
      <c r="E139" s="14" t="s">
        <v>228</v>
      </c>
      <c r="F139" s="58"/>
      <c r="G139" s="58"/>
      <c r="H139" s="58"/>
      <c r="I139" s="58"/>
      <c r="J139" s="58"/>
      <c r="K139" s="58"/>
      <c r="L139" s="43">
        <f>J139-K139</f>
      </c>
      <c r="M139" s="44">
        <f>J139/I139</f>
      </c>
      <c r="N139" s="1"/>
    </row>
    <row x14ac:dyDescent="0.25" r="140" customHeight="1" ht="17.25">
      <c r="A140" s="1"/>
      <c r="B140" s="13"/>
      <c r="C140" s="36"/>
      <c r="D140" s="42">
        <v>1423</v>
      </c>
      <c r="E140" s="14" t="s">
        <v>402</v>
      </c>
      <c r="F140" s="58"/>
      <c r="G140" s="58"/>
      <c r="H140" s="58"/>
      <c r="I140" s="58"/>
      <c r="J140" s="58"/>
      <c r="K140" s="58"/>
      <c r="L140" s="43">
        <f>J140-K140</f>
      </c>
      <c r="M140" s="44">
        <f>J140/I140</f>
      </c>
      <c r="N140" s="1"/>
    </row>
    <row x14ac:dyDescent="0.25" r="141" customHeight="1" ht="17.25">
      <c r="A141" s="1"/>
      <c r="B141" s="13"/>
      <c r="C141" s="36"/>
      <c r="D141" s="41">
        <v>1424</v>
      </c>
      <c r="E141" s="14" t="s">
        <v>403</v>
      </c>
      <c r="F141" s="58"/>
      <c r="G141" s="58"/>
      <c r="H141" s="58"/>
      <c r="I141" s="58"/>
      <c r="J141" s="58"/>
      <c r="K141" s="58"/>
      <c r="L141" s="43">
        <f>J141-K141</f>
      </c>
      <c r="M141" s="44">
        <f>J141/I141</f>
      </c>
      <c r="N141" s="1"/>
    </row>
    <row x14ac:dyDescent="0.25" r="142" customHeight="1" ht="17.25">
      <c r="A142" s="1"/>
      <c r="B142" s="13"/>
      <c r="C142" s="36"/>
      <c r="D142" s="41">
        <v>1425</v>
      </c>
      <c r="E142" s="14" t="s">
        <v>404</v>
      </c>
      <c r="F142" s="58"/>
      <c r="G142" s="58"/>
      <c r="H142" s="58"/>
      <c r="I142" s="58"/>
      <c r="J142" s="58"/>
      <c r="K142" s="58"/>
      <c r="L142" s="43">
        <f>J142-K142</f>
      </c>
      <c r="M142" s="44">
        <f>J142/I142</f>
      </c>
      <c r="N142" s="1"/>
    </row>
    <row x14ac:dyDescent="0.25" r="143" customHeight="1" ht="17.25">
      <c r="A143" s="1"/>
      <c r="B143" s="13"/>
      <c r="C143" s="36"/>
      <c r="D143" s="41">
        <v>1426</v>
      </c>
      <c r="E143" s="14" t="s">
        <v>405</v>
      </c>
      <c r="F143" s="58"/>
      <c r="G143" s="58"/>
      <c r="H143" s="58"/>
      <c r="I143" s="58"/>
      <c r="J143" s="58"/>
      <c r="K143" s="58"/>
      <c r="L143" s="43">
        <f>J143-K143</f>
      </c>
      <c r="M143" s="44">
        <f>J143/I143</f>
      </c>
      <c r="N143" s="1"/>
    </row>
    <row x14ac:dyDescent="0.25" r="144" customHeight="1" ht="17.25">
      <c r="A144" s="1"/>
      <c r="B144" s="13"/>
      <c r="C144" s="36"/>
      <c r="D144" s="41">
        <v>1427</v>
      </c>
      <c r="E144" s="14" t="s">
        <v>406</v>
      </c>
      <c r="F144" s="58"/>
      <c r="G144" s="58"/>
      <c r="H144" s="58"/>
      <c r="I144" s="58"/>
      <c r="J144" s="58"/>
      <c r="K144" s="58"/>
      <c r="L144" s="43">
        <f>J144-K144</f>
      </c>
      <c r="M144" s="44">
        <f>J144/I144</f>
      </c>
      <c r="N144" s="1"/>
    </row>
    <row x14ac:dyDescent="0.25" r="145" customHeight="1" ht="17.25">
      <c r="A145" s="1"/>
      <c r="B145" s="60"/>
      <c r="C145" s="41"/>
      <c r="D145" s="42">
        <v>1428</v>
      </c>
      <c r="E145" s="14" t="s">
        <v>283</v>
      </c>
      <c r="F145" s="43"/>
      <c r="G145" s="43"/>
      <c r="H145" s="61"/>
      <c r="I145" s="43"/>
      <c r="J145" s="43"/>
      <c r="K145" s="43"/>
      <c r="L145" s="43">
        <f>J145-K145</f>
      </c>
      <c r="M145" s="44">
        <f>J145/I145</f>
      </c>
      <c r="N145" s="1"/>
    </row>
    <row x14ac:dyDescent="0.25" r="146" customHeight="1" ht="17.25">
      <c r="A146" s="1"/>
      <c r="B146" s="60"/>
      <c r="C146" s="40">
        <v>147</v>
      </c>
      <c r="D146" s="36"/>
      <c r="E146" s="37" t="s">
        <v>407</v>
      </c>
      <c r="F146" s="43"/>
      <c r="G146" s="43"/>
      <c r="H146" s="61"/>
      <c r="I146" s="43"/>
      <c r="J146" s="43"/>
      <c r="K146" s="43"/>
      <c r="L146" s="43"/>
      <c r="M146" s="62"/>
      <c r="N146" s="1"/>
    </row>
    <row x14ac:dyDescent="0.25" r="147" customHeight="1" ht="17.25">
      <c r="A147" s="1"/>
      <c r="B147" s="60"/>
      <c r="C147" s="41"/>
      <c r="D147" s="42">
        <v>1471</v>
      </c>
      <c r="E147" s="14" t="s">
        <v>408</v>
      </c>
      <c r="F147" s="43"/>
      <c r="G147" s="43"/>
      <c r="H147" s="61"/>
      <c r="I147" s="43"/>
      <c r="J147" s="43"/>
      <c r="K147" s="43"/>
      <c r="L147" s="43">
        <f>J147-K147</f>
      </c>
      <c r="M147" s="44">
        <f>J147/I147</f>
      </c>
      <c r="N147" s="1"/>
    </row>
    <row x14ac:dyDescent="0.25" r="148" customHeight="1" ht="17.25">
      <c r="A148" s="1"/>
      <c r="B148" s="60"/>
      <c r="C148" s="41"/>
      <c r="D148" s="42">
        <v>1472</v>
      </c>
      <c r="E148" s="14" t="s">
        <v>409</v>
      </c>
      <c r="F148" s="43"/>
      <c r="G148" s="43"/>
      <c r="H148" s="61"/>
      <c r="I148" s="43"/>
      <c r="J148" s="43"/>
      <c r="K148" s="43"/>
      <c r="L148" s="43">
        <f>J148-K148</f>
      </c>
      <c r="M148" s="44">
        <f>J148/I148</f>
      </c>
      <c r="N148" s="1"/>
    </row>
    <row x14ac:dyDescent="0.25" r="149" customHeight="1" ht="17.25">
      <c r="A149" s="1"/>
      <c r="B149" s="60"/>
      <c r="C149" s="41"/>
      <c r="D149" s="42">
        <v>1473</v>
      </c>
      <c r="E149" s="14" t="s">
        <v>410</v>
      </c>
      <c r="F149" s="43"/>
      <c r="G149" s="43"/>
      <c r="H149" s="61"/>
      <c r="I149" s="43"/>
      <c r="J149" s="43"/>
      <c r="K149" s="43"/>
      <c r="L149" s="43">
        <f>J149-K149</f>
      </c>
      <c r="M149" s="44">
        <f>J149/I149</f>
      </c>
      <c r="N149" s="1"/>
    </row>
    <row x14ac:dyDescent="0.25" r="150" customHeight="1" ht="17.25">
      <c r="A150" s="1"/>
      <c r="B150" s="60"/>
      <c r="C150" s="41"/>
      <c r="D150" s="42">
        <v>1474</v>
      </c>
      <c r="E150" s="14" t="s">
        <v>411</v>
      </c>
      <c r="F150" s="43"/>
      <c r="G150" s="43"/>
      <c r="H150" s="61"/>
      <c r="I150" s="43"/>
      <c r="J150" s="43"/>
      <c r="K150" s="43"/>
      <c r="L150" s="43">
        <f>J150-K150</f>
      </c>
      <c r="M150" s="44">
        <f>J150/I150</f>
      </c>
      <c r="N150" s="1"/>
    </row>
    <row x14ac:dyDescent="0.25" r="151" customHeight="1" ht="17.25">
      <c r="A151" s="1"/>
      <c r="B151" s="60"/>
      <c r="C151" s="41"/>
      <c r="D151" s="42">
        <v>1478</v>
      </c>
      <c r="E151" s="14" t="s">
        <v>412</v>
      </c>
      <c r="F151" s="43"/>
      <c r="G151" s="43"/>
      <c r="H151" s="61"/>
      <c r="I151" s="43"/>
      <c r="J151" s="43"/>
      <c r="K151" s="43"/>
      <c r="L151" s="43">
        <f>J151-K151</f>
      </c>
      <c r="M151" s="44">
        <f>J151/I151</f>
      </c>
      <c r="N151" s="1"/>
    </row>
    <row x14ac:dyDescent="0.25" r="152" customHeight="1" ht="30">
      <c r="A152" s="1"/>
      <c r="B152" s="13">
        <v>16</v>
      </c>
      <c r="C152" s="36"/>
      <c r="D152" s="36"/>
      <c r="E152" s="37" t="s">
        <v>36</v>
      </c>
      <c r="F152" s="38">
        <f>SUM(F153:F165)</f>
      </c>
      <c r="G152" s="38">
        <f>SUM(G153:G165)</f>
      </c>
      <c r="H152" s="38">
        <f>SUM(H153:H165)</f>
      </c>
      <c r="I152" s="38">
        <f>SUM(I153:I165)</f>
      </c>
      <c r="J152" s="38">
        <f>SUM(J153:J165)</f>
      </c>
      <c r="K152" s="38">
        <f>SUM(K153:K165)</f>
      </c>
      <c r="L152" s="38">
        <f>SUM(L153:L165)</f>
      </c>
      <c r="M152" s="39">
        <f>J152/I152</f>
      </c>
      <c r="N152" s="7"/>
    </row>
    <row x14ac:dyDescent="0.25" r="153" customHeight="1" ht="17.25">
      <c r="A153" s="1"/>
      <c r="B153" s="13"/>
      <c r="C153" s="40">
        <v>161</v>
      </c>
      <c r="D153" s="36"/>
      <c r="E153" s="37" t="s">
        <v>208</v>
      </c>
      <c r="F153" s="38"/>
      <c r="G153" s="38"/>
      <c r="H153" s="38"/>
      <c r="I153" s="38"/>
      <c r="J153" s="38"/>
      <c r="K153" s="38"/>
      <c r="L153" s="38"/>
      <c r="M153" s="38"/>
      <c r="N153" s="7"/>
    </row>
    <row x14ac:dyDescent="0.25" r="154" customHeight="1" ht="17.25">
      <c r="A154" s="1"/>
      <c r="B154" s="13"/>
      <c r="C154" s="36"/>
      <c r="D154" s="42">
        <v>1611</v>
      </c>
      <c r="E154" s="14" t="s">
        <v>209</v>
      </c>
      <c r="F154" s="43"/>
      <c r="G154" s="43"/>
      <c r="H154" s="43"/>
      <c r="I154" s="43"/>
      <c r="J154" s="43"/>
      <c r="K154" s="43"/>
      <c r="L154" s="43">
        <f>J154-K154</f>
      </c>
      <c r="M154" s="44">
        <f>J154/I154</f>
      </c>
      <c r="N154" s="6"/>
    </row>
    <row x14ac:dyDescent="0.25" r="155" customHeight="1" ht="17.25">
      <c r="A155" s="1"/>
      <c r="B155" s="13"/>
      <c r="C155" s="36"/>
      <c r="D155" s="42">
        <v>1612</v>
      </c>
      <c r="E155" s="14" t="s">
        <v>210</v>
      </c>
      <c r="F155" s="43"/>
      <c r="G155" s="43"/>
      <c r="H155" s="43"/>
      <c r="I155" s="43"/>
      <c r="J155" s="43"/>
      <c r="K155" s="43"/>
      <c r="L155" s="43">
        <f>J155-K155</f>
      </c>
      <c r="M155" s="44">
        <f>J155/I155</f>
      </c>
      <c r="N155" s="6"/>
    </row>
    <row x14ac:dyDescent="0.25" r="156" customHeight="1" ht="17.25">
      <c r="A156" s="1"/>
      <c r="B156" s="13"/>
      <c r="C156" s="40">
        <v>162</v>
      </c>
      <c r="D156" s="36"/>
      <c r="E156" s="37" t="s">
        <v>211</v>
      </c>
      <c r="F156" s="38"/>
      <c r="G156" s="38"/>
      <c r="H156" s="38"/>
      <c r="I156" s="38"/>
      <c r="J156" s="38"/>
      <c r="K156" s="38"/>
      <c r="L156" s="38"/>
      <c r="M156" s="37"/>
      <c r="N156" s="7"/>
    </row>
    <row x14ac:dyDescent="0.25" r="157" customHeight="1" ht="17.25">
      <c r="A157" s="1"/>
      <c r="B157" s="13"/>
      <c r="C157" s="36"/>
      <c r="D157" s="42">
        <v>1621</v>
      </c>
      <c r="E157" s="14" t="s">
        <v>209</v>
      </c>
      <c r="F157" s="43"/>
      <c r="G157" s="43"/>
      <c r="H157" s="43"/>
      <c r="I157" s="43"/>
      <c r="J157" s="43"/>
      <c r="K157" s="43"/>
      <c r="L157" s="43">
        <f>J157-K157</f>
      </c>
      <c r="M157" s="44">
        <f>J157/I157</f>
      </c>
      <c r="N157" s="6"/>
    </row>
    <row x14ac:dyDescent="0.25" r="158" customHeight="1" ht="17.25">
      <c r="A158" s="1"/>
      <c r="B158" s="13"/>
      <c r="C158" s="36"/>
      <c r="D158" s="42">
        <v>1622</v>
      </c>
      <c r="E158" s="14" t="s">
        <v>210</v>
      </c>
      <c r="F158" s="43"/>
      <c r="G158" s="43"/>
      <c r="H158" s="43"/>
      <c r="I158" s="43"/>
      <c r="J158" s="43"/>
      <c r="K158" s="43"/>
      <c r="L158" s="43">
        <f>J158-K158</f>
      </c>
      <c r="M158" s="44">
        <f>J158/I158</f>
      </c>
      <c r="N158" s="6"/>
    </row>
    <row x14ac:dyDescent="0.25" r="159" customHeight="1" ht="17.25">
      <c r="A159" s="1"/>
      <c r="B159" s="13"/>
      <c r="C159" s="40">
        <v>165</v>
      </c>
      <c r="D159" s="36"/>
      <c r="E159" s="37" t="s">
        <v>212</v>
      </c>
      <c r="F159" s="38"/>
      <c r="G159" s="38"/>
      <c r="H159" s="38"/>
      <c r="I159" s="38"/>
      <c r="J159" s="38"/>
      <c r="K159" s="38"/>
      <c r="L159" s="38"/>
      <c r="M159" s="37"/>
      <c r="N159" s="7"/>
    </row>
    <row x14ac:dyDescent="0.25" r="160" customHeight="1" ht="17.25">
      <c r="A160" s="1"/>
      <c r="B160" s="13"/>
      <c r="C160" s="36"/>
      <c r="D160" s="42">
        <v>1650</v>
      </c>
      <c r="E160" s="14" t="s">
        <v>212</v>
      </c>
      <c r="F160" s="43"/>
      <c r="G160" s="43"/>
      <c r="H160" s="43"/>
      <c r="I160" s="43"/>
      <c r="J160" s="43"/>
      <c r="K160" s="43"/>
      <c r="L160" s="43">
        <f>J160-K160</f>
      </c>
      <c r="M160" s="44">
        <f>J160/I160</f>
      </c>
      <c r="N160" s="6"/>
    </row>
    <row x14ac:dyDescent="0.25" r="161" customHeight="1" ht="17.25">
      <c r="A161" s="1"/>
      <c r="B161" s="13"/>
      <c r="C161" s="40">
        <v>167</v>
      </c>
      <c r="D161" s="36"/>
      <c r="E161" s="37" t="s">
        <v>213</v>
      </c>
      <c r="F161" s="38"/>
      <c r="G161" s="38"/>
      <c r="H161" s="38"/>
      <c r="I161" s="38"/>
      <c r="J161" s="38"/>
      <c r="K161" s="38"/>
      <c r="L161" s="38"/>
      <c r="M161" s="37"/>
      <c r="N161" s="7"/>
    </row>
    <row x14ac:dyDescent="0.25" r="162" customHeight="1" ht="17.25">
      <c r="A162" s="1"/>
      <c r="B162" s="13"/>
      <c r="C162" s="36"/>
      <c r="D162" s="42">
        <v>1670</v>
      </c>
      <c r="E162" s="14" t="s">
        <v>213</v>
      </c>
      <c r="F162" s="43"/>
      <c r="G162" s="43"/>
      <c r="H162" s="43"/>
      <c r="I162" s="43"/>
      <c r="J162" s="43"/>
      <c r="K162" s="43"/>
      <c r="L162" s="43">
        <f>J162-K162</f>
      </c>
      <c r="M162" s="44">
        <f>J162/I162</f>
      </c>
      <c r="N162" s="6"/>
    </row>
    <row x14ac:dyDescent="0.25" r="163" customHeight="1" ht="17.25">
      <c r="A163" s="1"/>
      <c r="B163" s="13"/>
      <c r="C163" s="40">
        <v>168</v>
      </c>
      <c r="D163" s="36"/>
      <c r="E163" s="37" t="s">
        <v>214</v>
      </c>
      <c r="F163" s="38"/>
      <c r="G163" s="38"/>
      <c r="H163" s="38"/>
      <c r="I163" s="38"/>
      <c r="J163" s="38"/>
      <c r="K163" s="38"/>
      <c r="L163" s="38"/>
      <c r="M163" s="37"/>
      <c r="N163" s="7"/>
    </row>
    <row x14ac:dyDescent="0.25" r="164" customHeight="1" ht="17.25">
      <c r="A164" s="1"/>
      <c r="B164" s="13"/>
      <c r="C164" s="36"/>
      <c r="D164" s="42">
        <v>1680</v>
      </c>
      <c r="E164" s="14" t="s">
        <v>214</v>
      </c>
      <c r="F164" s="43"/>
      <c r="G164" s="43"/>
      <c r="H164" s="43"/>
      <c r="I164" s="43"/>
      <c r="J164" s="43"/>
      <c r="K164" s="43"/>
      <c r="L164" s="43">
        <f>J164-K164</f>
      </c>
      <c r="M164" s="44">
        <f>J164/I164</f>
      </c>
      <c r="N164" s="6"/>
    </row>
    <row x14ac:dyDescent="0.25" r="165" customHeight="1" ht="17.25">
      <c r="A165" s="1"/>
      <c r="B165" s="13"/>
      <c r="C165" s="36"/>
      <c r="D165" s="42">
        <v>1688</v>
      </c>
      <c r="E165" s="14" t="s">
        <v>215</v>
      </c>
      <c r="F165" s="43"/>
      <c r="G165" s="43"/>
      <c r="H165" s="43"/>
      <c r="I165" s="43"/>
      <c r="J165" s="43"/>
      <c r="K165" s="43"/>
      <c r="L165" s="43">
        <f>J165-K165</f>
      </c>
      <c r="M165" s="44">
        <f>J165/I165</f>
      </c>
      <c r="N165" s="6"/>
    </row>
    <row x14ac:dyDescent="0.25" r="166" customHeight="1" ht="29.399999999999995">
      <c r="A166" s="1"/>
      <c r="B166" s="15"/>
      <c r="C166" s="45"/>
      <c r="D166" s="45"/>
      <c r="E166" s="16" t="s">
        <v>413</v>
      </c>
      <c r="F166" s="46">
        <f>F123+F133+F152</f>
      </c>
      <c r="G166" s="46">
        <f>G123+G133</f>
      </c>
      <c r="H166" s="46">
        <f>H123+H133</f>
      </c>
      <c r="I166" s="46">
        <f>I123+I133</f>
      </c>
      <c r="J166" s="46">
        <f>J123+J133</f>
      </c>
      <c r="K166" s="46">
        <f>K123+K133</f>
      </c>
      <c r="L166" s="46">
        <f>L123+L133</f>
      </c>
      <c r="M166" s="39">
        <f>J166/I166</f>
      </c>
      <c r="N166" s="1"/>
    </row>
    <row x14ac:dyDescent="0.25" r="167" customHeight="1" ht="29.399999999999995">
      <c r="A167" s="1"/>
      <c r="B167" s="13">
        <v>10</v>
      </c>
      <c r="C167" s="36"/>
      <c r="D167" s="36"/>
      <c r="E167" s="37" t="s">
        <v>37</v>
      </c>
      <c r="F167" s="58">
        <f>SUM(F168:F180)</f>
      </c>
      <c r="G167" s="58">
        <f>SUM(G168:G180)</f>
      </c>
      <c r="H167" s="58">
        <f>SUM(H168:H180)</f>
      </c>
      <c r="I167" s="58">
        <f>SUM(I168:I180)</f>
      </c>
      <c r="J167" s="58">
        <f>SUM(J168:J180)</f>
      </c>
      <c r="K167" s="58">
        <f>SUM(K168:K180)</f>
      </c>
      <c r="L167" s="58">
        <f>SUM(L168:L180)</f>
      </c>
      <c r="M167" s="39">
        <f>J167/I167</f>
      </c>
      <c r="N167" s="1"/>
    </row>
    <row x14ac:dyDescent="0.25" r="168" customHeight="1" ht="17.25">
      <c r="A168" s="1"/>
      <c r="B168" s="13"/>
      <c r="C168" s="36">
        <v>101</v>
      </c>
      <c r="D168" s="36"/>
      <c r="E168" s="37" t="s">
        <v>378</v>
      </c>
      <c r="F168" s="58"/>
      <c r="G168" s="58"/>
      <c r="H168" s="58"/>
      <c r="I168" s="58"/>
      <c r="J168" s="58"/>
      <c r="K168" s="58"/>
      <c r="L168" s="58"/>
      <c r="M168" s="59"/>
      <c r="N168" s="1"/>
    </row>
    <row x14ac:dyDescent="0.25" r="169" customHeight="1" ht="17.25">
      <c r="A169" s="1"/>
      <c r="B169" s="60"/>
      <c r="C169" s="41"/>
      <c r="D169" s="42">
        <v>1011</v>
      </c>
      <c r="E169" s="14" t="s">
        <v>379</v>
      </c>
      <c r="F169" s="43"/>
      <c r="G169" s="43"/>
      <c r="H169" s="61"/>
      <c r="I169" s="43"/>
      <c r="J169" s="43"/>
      <c r="K169" s="43"/>
      <c r="L169" s="43">
        <f>J169-K169</f>
      </c>
      <c r="M169" s="44">
        <f>J169/I169</f>
      </c>
      <c r="N169" s="1"/>
    </row>
    <row x14ac:dyDescent="0.25" r="170" customHeight="1" ht="17.25">
      <c r="A170" s="1"/>
      <c r="B170" s="60"/>
      <c r="C170" s="41"/>
      <c r="D170" s="42">
        <v>1012</v>
      </c>
      <c r="E170" s="14" t="s">
        <v>380</v>
      </c>
      <c r="F170" s="43"/>
      <c r="G170" s="43"/>
      <c r="H170" s="61"/>
      <c r="I170" s="43"/>
      <c r="J170" s="43"/>
      <c r="K170" s="43"/>
      <c r="L170" s="43">
        <f>J170-K170</f>
      </c>
      <c r="M170" s="44">
        <f>J170/I170</f>
      </c>
      <c r="N170" s="1"/>
    </row>
    <row x14ac:dyDescent="0.25" r="171" customHeight="1" ht="17.25">
      <c r="A171" s="1"/>
      <c r="B171" s="60"/>
      <c r="C171" s="41"/>
      <c r="D171" s="42">
        <v>1013</v>
      </c>
      <c r="E171" s="14" t="s">
        <v>381</v>
      </c>
      <c r="F171" s="43"/>
      <c r="G171" s="43"/>
      <c r="H171" s="61"/>
      <c r="I171" s="43"/>
      <c r="J171" s="43"/>
      <c r="K171" s="43"/>
      <c r="L171" s="43">
        <f>J171-K171</f>
      </c>
      <c r="M171" s="44">
        <f>J171/I171</f>
      </c>
      <c r="N171" s="1"/>
    </row>
    <row x14ac:dyDescent="0.25" r="172" customHeight="1" ht="17.25">
      <c r="A172" s="1"/>
      <c r="B172" s="60"/>
      <c r="C172" s="41"/>
      <c r="D172" s="42">
        <v>1014</v>
      </c>
      <c r="E172" s="14" t="s">
        <v>382</v>
      </c>
      <c r="F172" s="43"/>
      <c r="G172" s="43"/>
      <c r="H172" s="61"/>
      <c r="I172" s="43"/>
      <c r="J172" s="43"/>
      <c r="K172" s="43"/>
      <c r="L172" s="43">
        <f>J172-K172</f>
      </c>
      <c r="M172" s="44">
        <f>J172/I172</f>
      </c>
      <c r="N172" s="1"/>
    </row>
    <row x14ac:dyDescent="0.25" r="173" customHeight="1" ht="17.25">
      <c r="A173" s="1"/>
      <c r="B173" s="60"/>
      <c r="C173" s="41"/>
      <c r="D173" s="42">
        <v>1015</v>
      </c>
      <c r="E173" s="14" t="s">
        <v>383</v>
      </c>
      <c r="F173" s="43"/>
      <c r="G173" s="43"/>
      <c r="H173" s="61"/>
      <c r="I173" s="43"/>
      <c r="J173" s="43"/>
      <c r="K173" s="43"/>
      <c r="L173" s="43">
        <f>J173-K173</f>
      </c>
      <c r="M173" s="44">
        <f>J173/I173</f>
      </c>
      <c r="N173" s="1"/>
    </row>
    <row x14ac:dyDescent="0.25" r="174" customHeight="1" ht="17.25">
      <c r="A174" s="1"/>
      <c r="B174" s="60"/>
      <c r="C174" s="41"/>
      <c r="D174" s="42">
        <v>1016</v>
      </c>
      <c r="E174" s="14" t="s">
        <v>384</v>
      </c>
      <c r="F174" s="43"/>
      <c r="G174" s="43"/>
      <c r="H174" s="61"/>
      <c r="I174" s="43"/>
      <c r="J174" s="43"/>
      <c r="K174" s="43"/>
      <c r="L174" s="43">
        <f>J174-K174</f>
      </c>
      <c r="M174" s="44">
        <f>J174/I174</f>
      </c>
      <c r="N174" s="1"/>
    </row>
    <row x14ac:dyDescent="0.25" r="175" customHeight="1" ht="17.25">
      <c r="A175" s="1"/>
      <c r="B175" s="60"/>
      <c r="C175" s="41"/>
      <c r="D175" s="42">
        <v>1017</v>
      </c>
      <c r="E175" s="14" t="s">
        <v>385</v>
      </c>
      <c r="F175" s="43"/>
      <c r="G175" s="43"/>
      <c r="H175" s="61"/>
      <c r="I175" s="43"/>
      <c r="J175" s="43"/>
      <c r="K175" s="43"/>
      <c r="L175" s="43">
        <f>J175-K175</f>
      </c>
      <c r="M175" s="44">
        <f>J175/I175</f>
      </c>
      <c r="N175" s="1"/>
    </row>
    <row x14ac:dyDescent="0.25" r="176" customHeight="1" ht="17.25">
      <c r="A176" s="1"/>
      <c r="B176" s="60"/>
      <c r="C176" s="41"/>
      <c r="D176" s="42">
        <v>1018</v>
      </c>
      <c r="E176" s="14" t="s">
        <v>136</v>
      </c>
      <c r="F176" s="43"/>
      <c r="G176" s="43"/>
      <c r="H176" s="61"/>
      <c r="I176" s="43"/>
      <c r="J176" s="43"/>
      <c r="K176" s="43"/>
      <c r="L176" s="43">
        <f>J176-K176</f>
      </c>
      <c r="M176" s="44">
        <f>J176/I176</f>
      </c>
      <c r="N176" s="1"/>
    </row>
    <row x14ac:dyDescent="0.25" r="177" customHeight="1" ht="17.25">
      <c r="A177" s="1"/>
      <c r="B177" s="60"/>
      <c r="C177" s="40">
        <v>106</v>
      </c>
      <c r="D177" s="36"/>
      <c r="E177" s="37" t="s">
        <v>386</v>
      </c>
      <c r="F177" s="43"/>
      <c r="G177" s="43"/>
      <c r="H177" s="61"/>
      <c r="I177" s="43"/>
      <c r="J177" s="43"/>
      <c r="K177" s="43"/>
      <c r="L177" s="43"/>
      <c r="M177" s="62"/>
      <c r="N177" s="1"/>
    </row>
    <row x14ac:dyDescent="0.25" r="178" customHeight="1" ht="17.25">
      <c r="A178" s="1"/>
      <c r="B178" s="60"/>
      <c r="C178" s="41"/>
      <c r="D178" s="42">
        <v>1061</v>
      </c>
      <c r="E178" s="14" t="s">
        <v>387</v>
      </c>
      <c r="F178" s="43"/>
      <c r="G178" s="43"/>
      <c r="H178" s="61"/>
      <c r="I178" s="43"/>
      <c r="J178" s="43"/>
      <c r="K178" s="43"/>
      <c r="L178" s="43">
        <f>J178-K178</f>
      </c>
      <c r="M178" s="44">
        <f>J178/I178</f>
      </c>
      <c r="N178" s="1"/>
    </row>
    <row x14ac:dyDescent="0.25" r="179" customHeight="1" ht="17.25">
      <c r="A179" s="1"/>
      <c r="B179" s="60"/>
      <c r="C179" s="41"/>
      <c r="D179" s="42">
        <v>1064</v>
      </c>
      <c r="E179" s="14" t="s">
        <v>388</v>
      </c>
      <c r="F179" s="43"/>
      <c r="G179" s="43"/>
      <c r="H179" s="61"/>
      <c r="I179" s="43"/>
      <c r="J179" s="43"/>
      <c r="K179" s="43"/>
      <c r="L179" s="43">
        <f>J179-K179</f>
      </c>
      <c r="M179" s="44">
        <f>J179/I179</f>
      </c>
      <c r="N179" s="1"/>
    </row>
    <row x14ac:dyDescent="0.25" r="180" customHeight="1" ht="17.25">
      <c r="A180" s="1"/>
      <c r="B180" s="60"/>
      <c r="C180" s="41"/>
      <c r="D180" s="42">
        <v>1068</v>
      </c>
      <c r="E180" s="14" t="s">
        <v>389</v>
      </c>
      <c r="F180" s="43"/>
      <c r="G180" s="43"/>
      <c r="H180" s="61"/>
      <c r="I180" s="43"/>
      <c r="J180" s="43"/>
      <c r="K180" s="43"/>
      <c r="L180" s="43">
        <f>J180-K180</f>
      </c>
      <c r="M180" s="44">
        <f>J180/I180</f>
      </c>
      <c r="N180" s="1"/>
    </row>
    <row x14ac:dyDescent="0.25" r="181" customHeight="1" ht="30">
      <c r="A181" s="1"/>
      <c r="B181" s="15"/>
      <c r="C181" s="45"/>
      <c r="D181" s="45"/>
      <c r="E181" s="16" t="s">
        <v>414</v>
      </c>
      <c r="F181" s="46">
        <f>F167</f>
      </c>
      <c r="G181" s="46">
        <f>G167</f>
      </c>
      <c r="H181" s="46">
        <f>H167</f>
      </c>
      <c r="I181" s="46">
        <f>I167</f>
      </c>
      <c r="J181" s="46">
        <f>J167</f>
      </c>
      <c r="K181" s="46">
        <f>K167</f>
      </c>
      <c r="L181" s="46">
        <f>L167</f>
      </c>
      <c r="M181" s="39">
        <f>J181/I181</f>
      </c>
      <c r="N181" s="1"/>
    </row>
    <row x14ac:dyDescent="0.25" r="182" customHeight="1" ht="28.8">
      <c r="A182" s="1"/>
      <c r="B182" s="69"/>
      <c r="C182" s="70"/>
      <c r="D182" s="70"/>
      <c r="E182" s="16" t="s">
        <v>287</v>
      </c>
      <c r="F182" s="46">
        <f>F166+F181</f>
      </c>
      <c r="G182" s="46">
        <f>G166+G181</f>
      </c>
      <c r="H182" s="46">
        <f>H166+H181</f>
      </c>
      <c r="I182" s="46">
        <f>I166+I181</f>
      </c>
      <c r="J182" s="46">
        <f>J166+J181</f>
      </c>
      <c r="K182" s="46">
        <f>K166+K181</f>
      </c>
      <c r="L182" s="46">
        <f>L166+L181</f>
      </c>
      <c r="M182" s="39">
        <f>J182/I182</f>
      </c>
      <c r="N182" s="1"/>
    </row>
  </sheetData>
  <mergeCells count="3">
    <mergeCell ref="B2:M2"/>
    <mergeCell ref="B6:M6"/>
    <mergeCell ref="B107:M10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89"/>
  <sheetViews>
    <sheetView workbookViewId="0"/>
  </sheetViews>
  <sheetFormatPr defaultRowHeight="15" x14ac:dyDescent="0.25"/>
  <cols>
    <col min="1" max="1" style="21" width="11.576428571428572" customWidth="1" bestFit="1"/>
    <col min="2" max="2" style="23" width="8.576428571428572" customWidth="1" bestFit="1"/>
    <col min="3" max="3" style="22" width="4.433571428571429" customWidth="1" bestFit="1"/>
    <col min="4" max="4" style="22" width="5.576428571428571" customWidth="1" bestFit="1"/>
    <col min="5" max="5" style="21" width="61.71928571428572" customWidth="1" bestFit="1"/>
    <col min="6" max="6" style="49" width="16.862142857142857" customWidth="1" bestFit="1"/>
    <col min="7" max="7" style="49" width="22.290714285714284" customWidth="1" bestFit="1"/>
    <col min="8" max="8" style="49" width="16.433571428571426" customWidth="1" bestFit="1"/>
    <col min="9" max="9" style="49" width="17.290714285714284" customWidth="1" bestFit="1"/>
    <col min="10" max="10" style="49" width="17.290714285714284" customWidth="1" bestFit="1"/>
    <col min="11" max="11" style="49" width="14.719285714285713" customWidth="1" bestFit="1"/>
    <col min="12" max="12" style="49" width="18.433571428571426" customWidth="1" bestFit="1"/>
    <col min="13" max="13" style="49" width="17.290714285714284" customWidth="1" bestFit="1"/>
    <col min="14" max="14" style="21" width="21.290714285714284" customWidth="1" bestFit="1"/>
  </cols>
  <sheetData>
    <row x14ac:dyDescent="0.25" r="1" customHeight="1" ht="17.25">
      <c r="A1" s="1"/>
      <c r="B1" s="3"/>
      <c r="C1" s="2"/>
      <c r="D1" s="2"/>
      <c r="E1" s="1"/>
      <c r="F1" s="24"/>
      <c r="G1" s="24"/>
      <c r="H1" s="24"/>
      <c r="I1" s="24"/>
      <c r="J1" s="24"/>
      <c r="K1" s="24"/>
      <c r="L1" s="24"/>
      <c r="M1" s="24"/>
      <c r="N1" s="1"/>
    </row>
    <row x14ac:dyDescent="0.25" r="2" customHeight="1" ht="17.25">
      <c r="A2" s="1"/>
      <c r="B2" s="4" t="s">
        <v>50</v>
      </c>
      <c r="C2" s="4"/>
      <c r="D2" s="4"/>
      <c r="E2" s="5"/>
      <c r="F2" s="25"/>
      <c r="G2" s="25"/>
      <c r="H2" s="25"/>
      <c r="I2" s="25"/>
      <c r="J2" s="25"/>
      <c r="K2" s="25"/>
      <c r="L2" s="25"/>
      <c r="M2" s="25"/>
      <c r="N2" s="5"/>
    </row>
    <row x14ac:dyDescent="0.25" r="3" customHeight="1" ht="17.25">
      <c r="A3" s="1"/>
      <c r="B3" s="3"/>
      <c r="C3" s="2"/>
      <c r="D3" s="2"/>
      <c r="E3" s="1"/>
      <c r="F3" s="6"/>
      <c r="G3" s="26"/>
      <c r="H3" s="26"/>
      <c r="I3" s="26"/>
      <c r="J3" s="26"/>
      <c r="K3" s="6"/>
      <c r="L3" s="6"/>
      <c r="M3" s="6"/>
      <c r="N3" s="1"/>
    </row>
    <row x14ac:dyDescent="0.25" r="4" customHeight="1" ht="17.25">
      <c r="A4" s="1"/>
      <c r="B4" s="3"/>
      <c r="C4" s="2"/>
      <c r="D4" s="2"/>
      <c r="E4" s="8" t="s">
        <v>1</v>
      </c>
      <c r="F4" s="6"/>
      <c r="G4" s="6"/>
      <c r="H4" s="27"/>
      <c r="I4" s="6"/>
      <c r="J4" s="6"/>
      <c r="K4" s="6"/>
      <c r="L4" s="6"/>
      <c r="M4" s="6"/>
      <c r="N4" s="1"/>
    </row>
    <row x14ac:dyDescent="0.25" r="5" customHeight="1" ht="17.25">
      <c r="A5" s="1"/>
      <c r="B5" s="3"/>
      <c r="C5" s="2"/>
      <c r="D5" s="2"/>
      <c r="E5" s="8"/>
      <c r="F5" s="7"/>
      <c r="G5" s="7"/>
      <c r="H5" s="26"/>
      <c r="I5" s="7"/>
      <c r="J5" s="7"/>
      <c r="K5" s="7"/>
      <c r="L5" s="7"/>
      <c r="M5" s="7"/>
      <c r="N5" s="7"/>
    </row>
    <row x14ac:dyDescent="0.25" r="6" customHeight="1" ht="28.8">
      <c r="A6" s="1"/>
      <c r="B6" s="3"/>
      <c r="C6" s="2"/>
      <c r="D6" s="2"/>
      <c r="E6" s="28" t="s">
        <v>51</v>
      </c>
      <c r="F6" s="7"/>
      <c r="G6" s="7"/>
      <c r="H6" s="26"/>
      <c r="I6" s="7"/>
      <c r="J6" s="7"/>
      <c r="K6" s="7"/>
      <c r="L6" s="7"/>
      <c r="M6" s="7"/>
      <c r="N6" s="7"/>
    </row>
    <row x14ac:dyDescent="0.25" r="7" customHeight="1" ht="17.25">
      <c r="A7" s="1"/>
      <c r="B7" s="3"/>
      <c r="C7" s="2"/>
      <c r="D7" s="2"/>
      <c r="E7" s="8"/>
      <c r="F7" s="7"/>
      <c r="G7" s="7"/>
      <c r="H7" s="26"/>
      <c r="I7" s="7"/>
      <c r="J7" s="7"/>
      <c r="K7" s="7"/>
      <c r="L7" s="7"/>
      <c r="M7" s="7"/>
      <c r="N7" s="7"/>
    </row>
    <row x14ac:dyDescent="0.25" r="8" customHeight="1" ht="28.8">
      <c r="A8" s="1"/>
      <c r="B8" s="29" t="s">
        <v>52</v>
      </c>
      <c r="C8" s="29"/>
      <c r="D8" s="29"/>
      <c r="E8" s="30"/>
      <c r="F8" s="31"/>
      <c r="G8" s="31"/>
      <c r="H8" s="31"/>
      <c r="I8" s="31"/>
      <c r="J8" s="31"/>
      <c r="K8" s="31"/>
      <c r="L8" s="31"/>
      <c r="M8" s="31"/>
      <c r="N8" s="30"/>
    </row>
    <row x14ac:dyDescent="0.25" r="9" customHeight="1" ht="17.25">
      <c r="A9" s="1"/>
      <c r="B9" s="32" t="s">
        <v>4</v>
      </c>
      <c r="C9" s="33"/>
      <c r="D9" s="34"/>
      <c r="E9" s="12" t="s">
        <v>5</v>
      </c>
      <c r="F9" s="35" t="s">
        <v>53</v>
      </c>
      <c r="G9" s="35" t="s">
        <v>54</v>
      </c>
      <c r="H9" s="35" t="s">
        <v>55</v>
      </c>
      <c r="I9" s="35" t="s">
        <v>56</v>
      </c>
      <c r="J9" s="35" t="s">
        <v>57</v>
      </c>
      <c r="K9" s="35" t="s">
        <v>58</v>
      </c>
      <c r="L9" s="35" t="s">
        <v>7</v>
      </c>
      <c r="M9" s="35" t="s">
        <v>8</v>
      </c>
      <c r="N9" s="12" t="s">
        <v>59</v>
      </c>
    </row>
    <row x14ac:dyDescent="0.25" r="10" customHeight="1" ht="30">
      <c r="A10" s="1"/>
      <c r="B10" s="13">
        <v>60</v>
      </c>
      <c r="C10" s="36"/>
      <c r="D10" s="36"/>
      <c r="E10" s="37" t="s">
        <v>9</v>
      </c>
      <c r="F10" s="38">
        <f>SUM(F11:F28)</f>
      </c>
      <c r="G10" s="38">
        <f>SUM(G11:G28)</f>
      </c>
      <c r="H10" s="38">
        <f>SUM(H11:H28)</f>
      </c>
      <c r="I10" s="38">
        <f>SUM(I11:I28)</f>
      </c>
      <c r="J10" s="38">
        <f>SUM(J11:J28)</f>
      </c>
      <c r="K10" s="38">
        <f>SUM(K11:K28)</f>
      </c>
      <c r="L10" s="38">
        <f>SUM(L11:L28)</f>
      </c>
      <c r="M10" s="38">
        <f>SUM(M11:M28)</f>
      </c>
      <c r="N10" s="39">
        <f>K10/I10</f>
      </c>
    </row>
    <row x14ac:dyDescent="0.25" r="11" customHeight="1" ht="17.25">
      <c r="A11" s="1"/>
      <c r="B11" s="13"/>
      <c r="C11" s="40">
        <v>601</v>
      </c>
      <c r="D11" s="41"/>
      <c r="E11" s="37" t="s">
        <v>60</v>
      </c>
      <c r="F11" s="38"/>
      <c r="G11" s="38"/>
      <c r="H11" s="38"/>
      <c r="I11" s="38"/>
      <c r="J11" s="38"/>
      <c r="K11" s="38"/>
      <c r="L11" s="38"/>
      <c r="M11" s="38"/>
      <c r="N11" s="38"/>
    </row>
    <row x14ac:dyDescent="0.25" r="12" customHeight="1" ht="17.25">
      <c r="A12" s="1"/>
      <c r="B12" s="13"/>
      <c r="C12" s="36"/>
      <c r="D12" s="42">
        <v>6011</v>
      </c>
      <c r="E12" s="14" t="s">
        <v>61</v>
      </c>
      <c r="F12" s="43"/>
      <c r="G12" s="43"/>
      <c r="H12" s="43"/>
      <c r="I12" s="43"/>
      <c r="J12" s="43"/>
      <c r="K12" s="43"/>
      <c r="L12" s="43"/>
      <c r="M12" s="43">
        <f>K12-L12</f>
      </c>
      <c r="N12" s="44">
        <f>K12/I12</f>
      </c>
    </row>
    <row x14ac:dyDescent="0.25" r="13" customHeight="1" ht="17.25">
      <c r="A13" s="1"/>
      <c r="B13" s="13"/>
      <c r="C13" s="36"/>
      <c r="D13" s="42">
        <v>6012</v>
      </c>
      <c r="E13" s="14" t="s">
        <v>62</v>
      </c>
      <c r="F13" s="43"/>
      <c r="G13" s="43"/>
      <c r="H13" s="43"/>
      <c r="I13" s="43"/>
      <c r="J13" s="43"/>
      <c r="K13" s="43"/>
      <c r="L13" s="43"/>
      <c r="M13" s="43">
        <f>K13-L13</f>
      </c>
      <c r="N13" s="44">
        <f>K13/I13</f>
      </c>
    </row>
    <row x14ac:dyDescent="0.25" r="14" customHeight="1" ht="17.25">
      <c r="A14" s="1"/>
      <c r="B14" s="13"/>
      <c r="C14" s="40">
        <v>602</v>
      </c>
      <c r="D14" s="41"/>
      <c r="E14" s="37" t="s">
        <v>63</v>
      </c>
      <c r="F14" s="38"/>
      <c r="G14" s="38"/>
      <c r="H14" s="38"/>
      <c r="I14" s="38"/>
      <c r="J14" s="38"/>
      <c r="K14" s="38"/>
      <c r="L14" s="38"/>
      <c r="M14" s="38"/>
      <c r="N14" s="38"/>
    </row>
    <row x14ac:dyDescent="0.25" r="15" customHeight="1" ht="17.25">
      <c r="A15" s="1"/>
      <c r="B15" s="13"/>
      <c r="C15" s="36"/>
      <c r="D15" s="42">
        <v>6021</v>
      </c>
      <c r="E15" s="14" t="s">
        <v>61</v>
      </c>
      <c r="F15" s="43"/>
      <c r="G15" s="43"/>
      <c r="H15" s="43"/>
      <c r="I15" s="43"/>
      <c r="J15" s="43"/>
      <c r="K15" s="43"/>
      <c r="L15" s="43"/>
      <c r="M15" s="43">
        <f>K15-L15</f>
      </c>
      <c r="N15" s="44">
        <f>K15/I15</f>
      </c>
    </row>
    <row x14ac:dyDescent="0.25" r="16" customHeight="1" ht="17.25">
      <c r="A16" s="1"/>
      <c r="B16" s="13"/>
      <c r="C16" s="36"/>
      <c r="D16" s="42">
        <v>6022</v>
      </c>
      <c r="E16" s="14" t="s">
        <v>62</v>
      </c>
      <c r="F16" s="43"/>
      <c r="G16" s="43"/>
      <c r="H16" s="43"/>
      <c r="I16" s="43"/>
      <c r="J16" s="43"/>
      <c r="K16" s="43"/>
      <c r="L16" s="43"/>
      <c r="M16" s="43">
        <f>K16-L16</f>
      </c>
      <c r="N16" s="44">
        <f>K16/I16</f>
      </c>
    </row>
    <row x14ac:dyDescent="0.25" r="17" customHeight="1" ht="17.25">
      <c r="A17" s="1"/>
      <c r="B17" s="13"/>
      <c r="C17" s="40">
        <v>603</v>
      </c>
      <c r="D17" s="41"/>
      <c r="E17" s="37" t="s">
        <v>64</v>
      </c>
      <c r="F17" s="38"/>
      <c r="G17" s="38"/>
      <c r="H17" s="38"/>
      <c r="I17" s="38"/>
      <c r="J17" s="38"/>
      <c r="K17" s="38"/>
      <c r="L17" s="38"/>
      <c r="M17" s="38"/>
      <c r="N17" s="38"/>
    </row>
    <row x14ac:dyDescent="0.25" r="18" customHeight="1" ht="17.25">
      <c r="A18" s="1"/>
      <c r="B18" s="13"/>
      <c r="C18" s="36"/>
      <c r="D18" s="42">
        <v>6031</v>
      </c>
      <c r="E18" s="14" t="s">
        <v>61</v>
      </c>
      <c r="F18" s="43"/>
      <c r="G18" s="43"/>
      <c r="H18" s="43"/>
      <c r="I18" s="43"/>
      <c r="J18" s="43"/>
      <c r="K18" s="43"/>
      <c r="L18" s="43"/>
      <c r="M18" s="43">
        <f>K18-L18</f>
      </c>
      <c r="N18" s="44">
        <f>K18/I18</f>
      </c>
    </row>
    <row x14ac:dyDescent="0.25" r="19" customHeight="1" ht="17.25">
      <c r="A19" s="1"/>
      <c r="B19" s="13"/>
      <c r="C19" s="36"/>
      <c r="D19" s="42">
        <v>6032</v>
      </c>
      <c r="E19" s="14" t="s">
        <v>62</v>
      </c>
      <c r="F19" s="43"/>
      <c r="G19" s="43"/>
      <c r="H19" s="43"/>
      <c r="I19" s="43"/>
      <c r="J19" s="43"/>
      <c r="K19" s="43"/>
      <c r="L19" s="43"/>
      <c r="M19" s="43">
        <f>K19-L19</f>
      </c>
      <c r="N19" s="44">
        <f>K19/I19</f>
      </c>
    </row>
    <row x14ac:dyDescent="0.25" r="20" customHeight="1" ht="17.25">
      <c r="A20" s="1"/>
      <c r="B20" s="13"/>
      <c r="C20" s="40">
        <v>604</v>
      </c>
      <c r="D20" s="41"/>
      <c r="E20" s="37" t="s">
        <v>65</v>
      </c>
      <c r="F20" s="38"/>
      <c r="G20" s="38"/>
      <c r="H20" s="38"/>
      <c r="I20" s="38"/>
      <c r="J20" s="38"/>
      <c r="K20" s="38"/>
      <c r="L20" s="38"/>
      <c r="M20" s="38"/>
      <c r="N20" s="38"/>
    </row>
    <row x14ac:dyDescent="0.25" r="21" customHeight="1" ht="17.25">
      <c r="A21" s="1"/>
      <c r="B21" s="13"/>
      <c r="C21" s="36"/>
      <c r="D21" s="42">
        <v>6041</v>
      </c>
      <c r="E21" s="14" t="s">
        <v>61</v>
      </c>
      <c r="F21" s="43"/>
      <c r="G21" s="43"/>
      <c r="H21" s="43"/>
      <c r="I21" s="43"/>
      <c r="J21" s="43"/>
      <c r="K21" s="43"/>
      <c r="L21" s="43"/>
      <c r="M21" s="43">
        <f>K21-L21</f>
      </c>
      <c r="N21" s="44">
        <f>K21/I21</f>
      </c>
    </row>
    <row x14ac:dyDescent="0.25" r="22" customHeight="1" ht="17.25">
      <c r="A22" s="1"/>
      <c r="B22" s="13"/>
      <c r="C22" s="36"/>
      <c r="D22" s="42">
        <v>6042</v>
      </c>
      <c r="E22" s="14" t="s">
        <v>62</v>
      </c>
      <c r="F22" s="43"/>
      <c r="G22" s="43"/>
      <c r="H22" s="43"/>
      <c r="I22" s="43"/>
      <c r="J22" s="43"/>
      <c r="K22" s="43"/>
      <c r="L22" s="43"/>
      <c r="M22" s="43">
        <f>K22-L22</f>
      </c>
      <c r="N22" s="44">
        <f>K22/I22</f>
      </c>
    </row>
    <row x14ac:dyDescent="0.25" r="23" customHeight="1" ht="17.25">
      <c r="A23" s="1"/>
      <c r="B23" s="13"/>
      <c r="C23" s="40">
        <v>606</v>
      </c>
      <c r="D23" s="41"/>
      <c r="E23" s="37" t="s">
        <v>66</v>
      </c>
      <c r="F23" s="38"/>
      <c r="G23" s="38"/>
      <c r="H23" s="38"/>
      <c r="I23" s="38"/>
      <c r="J23" s="38"/>
      <c r="K23" s="38"/>
      <c r="L23" s="38"/>
      <c r="M23" s="38"/>
      <c r="N23" s="38"/>
    </row>
    <row x14ac:dyDescent="0.25" r="24" customHeight="1" ht="17.25">
      <c r="A24" s="1"/>
      <c r="B24" s="13"/>
      <c r="C24" s="36"/>
      <c r="D24" s="42">
        <v>6061</v>
      </c>
      <c r="E24" s="14" t="s">
        <v>67</v>
      </c>
      <c r="F24" s="43"/>
      <c r="G24" s="43"/>
      <c r="H24" s="43"/>
      <c r="I24" s="43"/>
      <c r="J24" s="43"/>
      <c r="K24" s="43"/>
      <c r="L24" s="43"/>
      <c r="M24" s="43">
        <f>K24-L24</f>
      </c>
      <c r="N24" s="44">
        <f>K24/I24</f>
      </c>
    </row>
    <row x14ac:dyDescent="0.25" r="25" customHeight="1" ht="17.25">
      <c r="A25" s="1"/>
      <c r="B25" s="13"/>
      <c r="C25" s="36"/>
      <c r="D25" s="42">
        <v>6062</v>
      </c>
      <c r="E25" s="14" t="s">
        <v>68</v>
      </c>
      <c r="F25" s="43"/>
      <c r="G25" s="43"/>
      <c r="H25" s="43"/>
      <c r="I25" s="43"/>
      <c r="J25" s="43"/>
      <c r="K25" s="43"/>
      <c r="L25" s="43"/>
      <c r="M25" s="43">
        <f>K25-L25</f>
      </c>
      <c r="N25" s="44">
        <f>K25/I25</f>
      </c>
    </row>
    <row x14ac:dyDescent="0.25" r="26" customHeight="1" ht="17.25">
      <c r="A26" s="1"/>
      <c r="B26" s="13"/>
      <c r="C26" s="36"/>
      <c r="D26" s="42">
        <v>6063</v>
      </c>
      <c r="E26" s="14" t="s">
        <v>69</v>
      </c>
      <c r="F26" s="43"/>
      <c r="G26" s="43"/>
      <c r="H26" s="43"/>
      <c r="I26" s="43"/>
      <c r="J26" s="43"/>
      <c r="K26" s="43"/>
      <c r="L26" s="43"/>
      <c r="M26" s="43">
        <f>K26-L26</f>
      </c>
      <c r="N26" s="44">
        <f>K26/I26</f>
      </c>
    </row>
    <row x14ac:dyDescent="0.25" r="27" customHeight="1" ht="17.25">
      <c r="A27" s="1"/>
      <c r="B27" s="13"/>
      <c r="C27" s="36"/>
      <c r="D27" s="42">
        <v>6064</v>
      </c>
      <c r="E27" s="14" t="s">
        <v>70</v>
      </c>
      <c r="F27" s="43"/>
      <c r="G27" s="43"/>
      <c r="H27" s="43"/>
      <c r="I27" s="43"/>
      <c r="J27" s="43"/>
      <c r="K27" s="43"/>
      <c r="L27" s="43"/>
      <c r="M27" s="43">
        <f>K27-L27</f>
      </c>
      <c r="N27" s="44">
        <f>K27/I27</f>
      </c>
    </row>
    <row x14ac:dyDescent="0.25" r="28" customHeight="1" ht="17.25">
      <c r="A28" s="1"/>
      <c r="B28" s="13"/>
      <c r="C28" s="36"/>
      <c r="D28" s="42">
        <v>6068</v>
      </c>
      <c r="E28" s="14" t="s">
        <v>71</v>
      </c>
      <c r="F28" s="43"/>
      <c r="G28" s="43"/>
      <c r="H28" s="43"/>
      <c r="I28" s="43"/>
      <c r="J28" s="43"/>
      <c r="K28" s="43"/>
      <c r="L28" s="43"/>
      <c r="M28" s="43">
        <f>K28-L28</f>
      </c>
      <c r="N28" s="44">
        <f>K28/I28</f>
      </c>
    </row>
    <row x14ac:dyDescent="0.25" r="29" customHeight="1" ht="30">
      <c r="A29" s="1"/>
      <c r="B29" s="13">
        <v>61</v>
      </c>
      <c r="C29" s="36"/>
      <c r="D29" s="36"/>
      <c r="E29" s="37" t="s">
        <v>11</v>
      </c>
      <c r="F29" s="38">
        <f>SUM(F30:F59)</f>
      </c>
      <c r="G29" s="38">
        <f>SUM(G30:G59)</f>
      </c>
      <c r="H29" s="38">
        <f>SUM(H30:H59)</f>
      </c>
      <c r="I29" s="38">
        <f>SUM(I30:I59)</f>
      </c>
      <c r="J29" s="38">
        <f>SUM(J30:J59)</f>
      </c>
      <c r="K29" s="38">
        <f>SUM(K30:K59)</f>
      </c>
      <c r="L29" s="38">
        <f>SUM(L30:L59)</f>
      </c>
      <c r="M29" s="38">
        <f>SUM(M30:M59)</f>
      </c>
      <c r="N29" s="39">
        <f>K29/I29</f>
      </c>
    </row>
    <row x14ac:dyDescent="0.25" r="30" customHeight="1" ht="17.25">
      <c r="A30" s="1"/>
      <c r="B30" s="13"/>
      <c r="C30" s="40">
        <v>611</v>
      </c>
      <c r="D30" s="41"/>
      <c r="E30" s="37" t="s">
        <v>72</v>
      </c>
      <c r="F30" s="38"/>
      <c r="G30" s="38"/>
      <c r="H30" s="38"/>
      <c r="I30" s="38"/>
      <c r="J30" s="38"/>
      <c r="K30" s="38"/>
      <c r="L30" s="38"/>
      <c r="M30" s="38"/>
      <c r="N30" s="38"/>
    </row>
    <row x14ac:dyDescent="0.25" r="31" customHeight="1" ht="17.25">
      <c r="A31" s="1"/>
      <c r="B31" s="13"/>
      <c r="C31" s="36"/>
      <c r="D31" s="42">
        <v>6111</v>
      </c>
      <c r="E31" s="14" t="s">
        <v>73</v>
      </c>
      <c r="F31" s="43"/>
      <c r="G31" s="43"/>
      <c r="H31" s="43"/>
      <c r="I31" s="43"/>
      <c r="J31" s="43"/>
      <c r="K31" s="43"/>
      <c r="L31" s="43"/>
      <c r="M31" s="43">
        <f>K31-L31</f>
      </c>
      <c r="N31" s="44">
        <f>K31/I31</f>
      </c>
    </row>
    <row x14ac:dyDescent="0.25" r="32" customHeight="1" ht="17.25">
      <c r="A32" s="1"/>
      <c r="B32" s="13"/>
      <c r="C32" s="36"/>
      <c r="D32" s="42">
        <v>6112</v>
      </c>
      <c r="E32" s="14" t="s">
        <v>74</v>
      </c>
      <c r="F32" s="43"/>
      <c r="G32" s="43"/>
      <c r="H32" s="43"/>
      <c r="I32" s="43"/>
      <c r="J32" s="43"/>
      <c r="K32" s="43"/>
      <c r="L32" s="43"/>
      <c r="M32" s="43">
        <f>K32-L32</f>
      </c>
      <c r="N32" s="44">
        <f>K32/I32</f>
      </c>
    </row>
    <row x14ac:dyDescent="0.25" r="33" customHeight="1" ht="17.25">
      <c r="A33" s="1"/>
      <c r="B33" s="13"/>
      <c r="C33" s="36"/>
      <c r="D33" s="42">
        <v>6113</v>
      </c>
      <c r="E33" s="14" t="s">
        <v>75</v>
      </c>
      <c r="F33" s="43"/>
      <c r="G33" s="43"/>
      <c r="H33" s="43"/>
      <c r="I33" s="43"/>
      <c r="J33" s="43"/>
      <c r="K33" s="43"/>
      <c r="L33" s="43"/>
      <c r="M33" s="43">
        <f>K33-L33</f>
      </c>
      <c r="N33" s="44">
        <f>K33/I33</f>
      </c>
    </row>
    <row x14ac:dyDescent="0.25" r="34" customHeight="1" ht="17.25">
      <c r="A34" s="1"/>
      <c r="B34" s="13"/>
      <c r="C34" s="36"/>
      <c r="D34" s="42">
        <v>6114</v>
      </c>
      <c r="E34" s="14" t="s">
        <v>76</v>
      </c>
      <c r="F34" s="43"/>
      <c r="G34" s="43"/>
      <c r="H34" s="43"/>
      <c r="I34" s="43"/>
      <c r="J34" s="43"/>
      <c r="K34" s="43"/>
      <c r="L34" s="43"/>
      <c r="M34" s="43">
        <f>K34-L34</f>
      </c>
      <c r="N34" s="44">
        <f>K34/I34</f>
      </c>
    </row>
    <row x14ac:dyDescent="0.25" r="35" customHeight="1" ht="17.25">
      <c r="A35" s="1"/>
      <c r="B35" s="13"/>
      <c r="C35" s="36"/>
      <c r="D35" s="42">
        <v>6115</v>
      </c>
      <c r="E35" s="14" t="s">
        <v>77</v>
      </c>
      <c r="F35" s="43"/>
      <c r="G35" s="43"/>
      <c r="H35" s="43"/>
      <c r="I35" s="43"/>
      <c r="J35" s="43"/>
      <c r="K35" s="43"/>
      <c r="L35" s="43"/>
      <c r="M35" s="43">
        <f>K35-L35</f>
      </c>
      <c r="N35" s="44">
        <f>K35/I35</f>
      </c>
    </row>
    <row x14ac:dyDescent="0.25" r="36" customHeight="1" ht="17.25">
      <c r="A36" s="1"/>
      <c r="B36" s="13"/>
      <c r="C36" s="36"/>
      <c r="D36" s="42">
        <v>6116</v>
      </c>
      <c r="E36" s="14" t="s">
        <v>78</v>
      </c>
      <c r="F36" s="43"/>
      <c r="G36" s="43"/>
      <c r="H36" s="43"/>
      <c r="I36" s="43"/>
      <c r="J36" s="43"/>
      <c r="K36" s="43"/>
      <c r="L36" s="43"/>
      <c r="M36" s="43">
        <f>K36-L36</f>
      </c>
      <c r="N36" s="44">
        <f>K36/I36</f>
      </c>
    </row>
    <row x14ac:dyDescent="0.25" r="37" customHeight="1" ht="17.25">
      <c r="A37" s="1"/>
      <c r="B37" s="13"/>
      <c r="C37" s="36"/>
      <c r="D37" s="42">
        <v>6117</v>
      </c>
      <c r="E37" s="14" t="s">
        <v>79</v>
      </c>
      <c r="F37" s="43"/>
      <c r="G37" s="43"/>
      <c r="H37" s="43"/>
      <c r="I37" s="43"/>
      <c r="J37" s="43"/>
      <c r="K37" s="43"/>
      <c r="L37" s="43"/>
      <c r="M37" s="43">
        <f>K37-L37</f>
      </c>
      <c r="N37" s="44">
        <f>K37/I37</f>
      </c>
    </row>
    <row x14ac:dyDescent="0.25" r="38" customHeight="1" ht="17.25">
      <c r="A38" s="1"/>
      <c r="B38" s="13"/>
      <c r="C38" s="40">
        <v>612</v>
      </c>
      <c r="D38" s="41"/>
      <c r="E38" s="37" t="s">
        <v>80</v>
      </c>
      <c r="F38" s="38"/>
      <c r="G38" s="38"/>
      <c r="H38" s="38"/>
      <c r="I38" s="38"/>
      <c r="J38" s="38"/>
      <c r="K38" s="38"/>
      <c r="L38" s="38"/>
      <c r="M38" s="38"/>
      <c r="N38" s="38"/>
    </row>
    <row x14ac:dyDescent="0.25" r="39" customHeight="1" ht="17.25">
      <c r="A39" s="1"/>
      <c r="B39" s="13"/>
      <c r="C39" s="36"/>
      <c r="D39" s="42">
        <v>6121</v>
      </c>
      <c r="E39" s="14" t="s">
        <v>81</v>
      </c>
      <c r="F39" s="43"/>
      <c r="G39" s="43"/>
      <c r="H39" s="43"/>
      <c r="I39" s="43"/>
      <c r="J39" s="43"/>
      <c r="K39" s="43"/>
      <c r="L39" s="43"/>
      <c r="M39" s="43">
        <f>K39-L39</f>
      </c>
      <c r="N39" s="44">
        <f>K39/I39</f>
      </c>
    </row>
    <row x14ac:dyDescent="0.25" r="40" customHeight="1" ht="17.25">
      <c r="A40" s="1"/>
      <c r="B40" s="13"/>
      <c r="C40" s="36"/>
      <c r="D40" s="42">
        <v>6122</v>
      </c>
      <c r="E40" s="14" t="s">
        <v>82</v>
      </c>
      <c r="F40" s="43"/>
      <c r="G40" s="43"/>
      <c r="H40" s="43"/>
      <c r="I40" s="43"/>
      <c r="J40" s="43"/>
      <c r="K40" s="43"/>
      <c r="L40" s="43"/>
      <c r="M40" s="43">
        <f>K40-L40</f>
      </c>
      <c r="N40" s="44">
        <f>K40/I40</f>
      </c>
    </row>
    <row x14ac:dyDescent="0.25" r="41" customHeight="1" ht="17.25">
      <c r="A41" s="1"/>
      <c r="B41" s="13"/>
      <c r="C41" s="36"/>
      <c r="D41" s="42">
        <v>6123</v>
      </c>
      <c r="E41" s="14" t="s">
        <v>83</v>
      </c>
      <c r="F41" s="43"/>
      <c r="G41" s="43"/>
      <c r="H41" s="43"/>
      <c r="I41" s="43"/>
      <c r="J41" s="43"/>
      <c r="K41" s="43"/>
      <c r="L41" s="43"/>
      <c r="M41" s="43">
        <f>K41-L41</f>
      </c>
      <c r="N41" s="44">
        <f>K41/I41</f>
      </c>
    </row>
    <row x14ac:dyDescent="0.25" r="42" customHeight="1" ht="17.25">
      <c r="A42" s="1"/>
      <c r="B42" s="13"/>
      <c r="C42" s="36"/>
      <c r="D42" s="42">
        <v>6124</v>
      </c>
      <c r="E42" s="14" t="s">
        <v>84</v>
      </c>
      <c r="F42" s="43"/>
      <c r="G42" s="43"/>
      <c r="H42" s="43"/>
      <c r="I42" s="43"/>
      <c r="J42" s="43"/>
      <c r="K42" s="43"/>
      <c r="L42" s="43"/>
      <c r="M42" s="43">
        <f>K42-L42</f>
      </c>
      <c r="N42" s="44">
        <f>K42/I42</f>
      </c>
    </row>
    <row x14ac:dyDescent="0.25" r="43" customHeight="1" ht="17.25">
      <c r="A43" s="1"/>
      <c r="B43" s="13"/>
      <c r="C43" s="36"/>
      <c r="D43" s="42">
        <v>6125</v>
      </c>
      <c r="E43" s="14" t="s">
        <v>85</v>
      </c>
      <c r="F43" s="43"/>
      <c r="G43" s="43"/>
      <c r="H43" s="43"/>
      <c r="I43" s="43"/>
      <c r="J43" s="43"/>
      <c r="K43" s="43"/>
      <c r="L43" s="43"/>
      <c r="M43" s="43">
        <f>K43-L43</f>
      </c>
      <c r="N43" s="44">
        <f>K43/I43</f>
      </c>
    </row>
    <row x14ac:dyDescent="0.25" r="44" customHeight="1" ht="17.25">
      <c r="A44" s="1"/>
      <c r="B44" s="13"/>
      <c r="C44" s="36"/>
      <c r="D44" s="42">
        <v>6126</v>
      </c>
      <c r="E44" s="14" t="s">
        <v>86</v>
      </c>
      <c r="F44" s="43"/>
      <c r="G44" s="43"/>
      <c r="H44" s="43"/>
      <c r="I44" s="43"/>
      <c r="J44" s="43"/>
      <c r="K44" s="43"/>
      <c r="L44" s="43"/>
      <c r="M44" s="43">
        <f>K44-L44</f>
      </c>
      <c r="N44" s="44">
        <f>K44/I44</f>
      </c>
    </row>
    <row x14ac:dyDescent="0.25" r="45" customHeight="1" ht="17.25">
      <c r="A45" s="1"/>
      <c r="B45" s="13"/>
      <c r="C45" s="36"/>
      <c r="D45" s="42">
        <v>6127</v>
      </c>
      <c r="E45" s="14" t="s">
        <v>87</v>
      </c>
      <c r="F45" s="43"/>
      <c r="G45" s="43"/>
      <c r="H45" s="43"/>
      <c r="I45" s="43"/>
      <c r="J45" s="43"/>
      <c r="K45" s="43"/>
      <c r="L45" s="43"/>
      <c r="M45" s="43">
        <f>K45-L45</f>
      </c>
      <c r="N45" s="44">
        <f>K45/I45</f>
      </c>
    </row>
    <row x14ac:dyDescent="0.25" r="46" customHeight="1" ht="17.25">
      <c r="A46" s="1"/>
      <c r="B46" s="13"/>
      <c r="C46" s="36"/>
      <c r="D46" s="42">
        <v>6128</v>
      </c>
      <c r="E46" s="14" t="s">
        <v>88</v>
      </c>
      <c r="F46" s="43"/>
      <c r="G46" s="43"/>
      <c r="H46" s="43"/>
      <c r="I46" s="43"/>
      <c r="J46" s="43"/>
      <c r="K46" s="43"/>
      <c r="L46" s="43"/>
      <c r="M46" s="43">
        <f>K46-L46</f>
      </c>
      <c r="N46" s="44">
        <f>K46/I46</f>
      </c>
    </row>
    <row x14ac:dyDescent="0.25" r="47" customHeight="1" ht="17.25">
      <c r="A47" s="1"/>
      <c r="B47" s="13"/>
      <c r="C47" s="40">
        <v>613</v>
      </c>
      <c r="D47" s="41"/>
      <c r="E47" s="37" t="s">
        <v>89</v>
      </c>
      <c r="F47" s="38"/>
      <c r="G47" s="38"/>
      <c r="H47" s="38"/>
      <c r="I47" s="38"/>
      <c r="J47" s="38"/>
      <c r="K47" s="38"/>
      <c r="L47" s="38"/>
      <c r="M47" s="38"/>
      <c r="N47" s="38"/>
    </row>
    <row x14ac:dyDescent="0.25" r="48" customHeight="1" ht="17.25">
      <c r="A48" s="1"/>
      <c r="B48" s="13"/>
      <c r="C48" s="36"/>
      <c r="D48" s="42">
        <v>6131</v>
      </c>
      <c r="E48" s="14" t="s">
        <v>90</v>
      </c>
      <c r="F48" s="43"/>
      <c r="G48" s="43"/>
      <c r="H48" s="43"/>
      <c r="I48" s="43"/>
      <c r="J48" s="43"/>
      <c r="K48" s="43"/>
      <c r="L48" s="43"/>
      <c r="M48" s="43">
        <f>K48-L48</f>
      </c>
      <c r="N48" s="44">
        <f>K48/I48</f>
      </c>
    </row>
    <row x14ac:dyDescent="0.25" r="49" customHeight="1" ht="17.25">
      <c r="A49" s="1"/>
      <c r="B49" s="13"/>
      <c r="C49" s="36"/>
      <c r="D49" s="42">
        <v>6132</v>
      </c>
      <c r="E49" s="14" t="s">
        <v>91</v>
      </c>
      <c r="F49" s="43"/>
      <c r="G49" s="43"/>
      <c r="H49" s="43"/>
      <c r="I49" s="43"/>
      <c r="J49" s="43"/>
      <c r="K49" s="43"/>
      <c r="L49" s="43"/>
      <c r="M49" s="43">
        <f>K49-L49</f>
      </c>
      <c r="N49" s="44">
        <f>K49/I49</f>
      </c>
    </row>
    <row x14ac:dyDescent="0.25" r="50" customHeight="1" ht="17.25">
      <c r="A50" s="1"/>
      <c r="B50" s="13"/>
      <c r="C50" s="36"/>
      <c r="D50" s="42">
        <v>6138</v>
      </c>
      <c r="E50" s="14" t="s">
        <v>92</v>
      </c>
      <c r="F50" s="43"/>
      <c r="G50" s="43"/>
      <c r="H50" s="43"/>
      <c r="I50" s="43"/>
      <c r="J50" s="43"/>
      <c r="K50" s="43"/>
      <c r="L50" s="43"/>
      <c r="M50" s="43">
        <f>K50-L50</f>
      </c>
      <c r="N50" s="44">
        <f>K50/I50</f>
      </c>
    </row>
    <row x14ac:dyDescent="0.25" r="51" customHeight="1" ht="17.25">
      <c r="A51" s="1"/>
      <c r="B51" s="13"/>
      <c r="C51" s="40">
        <v>616</v>
      </c>
      <c r="D51" s="41"/>
      <c r="E51" s="37" t="s">
        <v>93</v>
      </c>
      <c r="F51" s="38"/>
      <c r="G51" s="38"/>
      <c r="H51" s="38"/>
      <c r="I51" s="38"/>
      <c r="J51" s="38"/>
      <c r="K51" s="38"/>
      <c r="L51" s="38"/>
      <c r="M51" s="38"/>
      <c r="N51" s="38"/>
    </row>
    <row x14ac:dyDescent="0.25" r="52" customHeight="1" ht="17.25">
      <c r="A52" s="1"/>
      <c r="B52" s="13"/>
      <c r="C52" s="36"/>
      <c r="D52" s="42">
        <v>6161</v>
      </c>
      <c r="E52" s="14" t="s">
        <v>94</v>
      </c>
      <c r="F52" s="43"/>
      <c r="G52" s="43"/>
      <c r="H52" s="43"/>
      <c r="I52" s="43"/>
      <c r="J52" s="43"/>
      <c r="K52" s="43"/>
      <c r="L52" s="43"/>
      <c r="M52" s="43">
        <f>K52-L52</f>
      </c>
      <c r="N52" s="44">
        <f>K52/I52</f>
      </c>
    </row>
    <row x14ac:dyDescent="0.25" r="53" customHeight="1" ht="17.25">
      <c r="A53" s="1"/>
      <c r="B53" s="13"/>
      <c r="C53" s="36"/>
      <c r="D53" s="42">
        <v>6162</v>
      </c>
      <c r="E53" s="14" t="s">
        <v>95</v>
      </c>
      <c r="F53" s="43"/>
      <c r="G53" s="43"/>
      <c r="H53" s="43"/>
      <c r="I53" s="43"/>
      <c r="J53" s="43"/>
      <c r="K53" s="43"/>
      <c r="L53" s="43"/>
      <c r="M53" s="43">
        <f>K53-L53</f>
      </c>
      <c r="N53" s="44">
        <f>K53/I53</f>
      </c>
    </row>
    <row x14ac:dyDescent="0.25" r="54" customHeight="1" ht="17.25">
      <c r="A54" s="1"/>
      <c r="B54" s="13"/>
      <c r="C54" s="36"/>
      <c r="D54" s="42">
        <v>6163</v>
      </c>
      <c r="E54" s="14" t="s">
        <v>96</v>
      </c>
      <c r="F54" s="43"/>
      <c r="G54" s="43"/>
      <c r="H54" s="43"/>
      <c r="I54" s="43"/>
      <c r="J54" s="43"/>
      <c r="K54" s="43"/>
      <c r="L54" s="43"/>
      <c r="M54" s="43">
        <f>K54-L54</f>
      </c>
      <c r="N54" s="44">
        <f>K54/I54</f>
      </c>
    </row>
    <row x14ac:dyDescent="0.25" r="55" customHeight="1" ht="17.25">
      <c r="A55" s="1"/>
      <c r="B55" s="13"/>
      <c r="C55" s="36"/>
      <c r="D55" s="42">
        <v>6168</v>
      </c>
      <c r="E55" s="14" t="s">
        <v>97</v>
      </c>
      <c r="F55" s="43"/>
      <c r="G55" s="43"/>
      <c r="H55" s="43"/>
      <c r="I55" s="43"/>
      <c r="J55" s="43"/>
      <c r="K55" s="43"/>
      <c r="L55" s="43"/>
      <c r="M55" s="43">
        <f>K55-L55</f>
      </c>
      <c r="N55" s="44">
        <f>K55/I55</f>
      </c>
    </row>
    <row x14ac:dyDescent="0.25" r="56" customHeight="1" ht="17.25">
      <c r="A56" s="1"/>
      <c r="B56" s="13"/>
      <c r="C56" s="40">
        <v>618</v>
      </c>
      <c r="D56" s="41"/>
      <c r="E56" s="37" t="s">
        <v>98</v>
      </c>
      <c r="F56" s="38"/>
      <c r="G56" s="38"/>
      <c r="H56" s="38"/>
      <c r="I56" s="38"/>
      <c r="J56" s="38"/>
      <c r="K56" s="38"/>
      <c r="L56" s="38"/>
      <c r="M56" s="38"/>
      <c r="N56" s="38"/>
    </row>
    <row x14ac:dyDescent="0.25" r="57" customHeight="1" ht="17.25">
      <c r="A57" s="1"/>
      <c r="B57" s="13"/>
      <c r="C57" s="36"/>
      <c r="D57" s="42">
        <v>6181</v>
      </c>
      <c r="E57" s="14" t="s">
        <v>99</v>
      </c>
      <c r="F57" s="43"/>
      <c r="G57" s="43"/>
      <c r="H57" s="43"/>
      <c r="I57" s="43"/>
      <c r="J57" s="43"/>
      <c r="K57" s="43"/>
      <c r="L57" s="43"/>
      <c r="M57" s="43">
        <f>K57-L57</f>
      </c>
      <c r="N57" s="44">
        <f>K57/I57</f>
      </c>
    </row>
    <row x14ac:dyDescent="0.25" r="58" customHeight="1" ht="17.25">
      <c r="A58" s="1"/>
      <c r="B58" s="13"/>
      <c r="C58" s="36"/>
      <c r="D58" s="42">
        <v>6182</v>
      </c>
      <c r="E58" s="14" t="s">
        <v>100</v>
      </c>
      <c r="F58" s="43"/>
      <c r="G58" s="43"/>
      <c r="H58" s="43"/>
      <c r="I58" s="43"/>
      <c r="J58" s="43"/>
      <c r="K58" s="43"/>
      <c r="L58" s="43"/>
      <c r="M58" s="43">
        <f>K58-L58</f>
      </c>
      <c r="N58" s="44">
        <f>K58/I58</f>
      </c>
    </row>
    <row x14ac:dyDescent="0.25" r="59" customHeight="1" ht="17.25">
      <c r="A59" s="1"/>
      <c r="B59" s="13"/>
      <c r="C59" s="36"/>
      <c r="D59" s="42">
        <v>6183</v>
      </c>
      <c r="E59" s="14" t="s">
        <v>101</v>
      </c>
      <c r="F59" s="43"/>
      <c r="G59" s="43"/>
      <c r="H59" s="43"/>
      <c r="I59" s="43"/>
      <c r="J59" s="43"/>
      <c r="K59" s="43"/>
      <c r="L59" s="43"/>
      <c r="M59" s="43">
        <f>K59-L59</f>
      </c>
      <c r="N59" s="44">
        <f>K59/I59</f>
      </c>
    </row>
    <row x14ac:dyDescent="0.25" r="60" customHeight="1" ht="30">
      <c r="A60" s="1"/>
      <c r="B60" s="13">
        <v>62</v>
      </c>
      <c r="C60" s="36"/>
      <c r="D60" s="36"/>
      <c r="E60" s="37" t="s">
        <v>13</v>
      </c>
      <c r="F60" s="38">
        <f>SUM(F61:F111)</f>
      </c>
      <c r="G60" s="38">
        <f>SUM(G61:G111)</f>
      </c>
      <c r="H60" s="38">
        <f>SUM(H61:H111)</f>
      </c>
      <c r="I60" s="38">
        <f>SUM(I61:I111)</f>
      </c>
      <c r="J60" s="38">
        <f>SUM(J61:J111)</f>
      </c>
      <c r="K60" s="38">
        <f>SUM(K61:K111)</f>
      </c>
      <c r="L60" s="38">
        <f>SUM(L61:L111)</f>
      </c>
      <c r="M60" s="38">
        <f>SUM(M61:M111)</f>
      </c>
      <c r="N60" s="39">
        <f>K60/I60</f>
      </c>
    </row>
    <row x14ac:dyDescent="0.25" r="61" customHeight="1" ht="17.25">
      <c r="A61" s="1"/>
      <c r="B61" s="13"/>
      <c r="C61" s="40">
        <v>621</v>
      </c>
      <c r="D61" s="41"/>
      <c r="E61" s="37" t="s">
        <v>102</v>
      </c>
      <c r="F61" s="38"/>
      <c r="G61" s="38"/>
      <c r="H61" s="38"/>
      <c r="I61" s="38"/>
      <c r="J61" s="38"/>
      <c r="K61" s="38"/>
      <c r="L61" s="38"/>
      <c r="M61" s="38"/>
      <c r="N61" s="38"/>
    </row>
    <row x14ac:dyDescent="0.25" r="62" customHeight="1" ht="17.25">
      <c r="A62" s="1"/>
      <c r="B62" s="13"/>
      <c r="C62" s="36"/>
      <c r="D62" s="42">
        <v>6211</v>
      </c>
      <c r="E62" s="14" t="s">
        <v>103</v>
      </c>
      <c r="F62" s="43"/>
      <c r="G62" s="43"/>
      <c r="H62" s="43"/>
      <c r="I62" s="43"/>
      <c r="J62" s="43"/>
      <c r="K62" s="43"/>
      <c r="L62" s="43"/>
      <c r="M62" s="43">
        <f>K62-L62</f>
      </c>
      <c r="N62" s="44">
        <f>K62/I62</f>
      </c>
    </row>
    <row x14ac:dyDescent="0.25" r="63" customHeight="1" ht="17.25">
      <c r="A63" s="1"/>
      <c r="B63" s="13"/>
      <c r="C63" s="36"/>
      <c r="D63" s="42">
        <v>6212</v>
      </c>
      <c r="E63" s="14" t="s">
        <v>104</v>
      </c>
      <c r="F63" s="43"/>
      <c r="G63" s="43"/>
      <c r="H63" s="43"/>
      <c r="I63" s="43"/>
      <c r="J63" s="43"/>
      <c r="K63" s="43"/>
      <c r="L63" s="43"/>
      <c r="M63" s="43">
        <f>K63-L63</f>
      </c>
      <c r="N63" s="44">
        <f>K63/I63</f>
      </c>
    </row>
    <row x14ac:dyDescent="0.25" r="64" customHeight="1" ht="17.25">
      <c r="A64" s="1"/>
      <c r="B64" s="13"/>
      <c r="C64" s="36"/>
      <c r="D64" s="42">
        <v>6213</v>
      </c>
      <c r="E64" s="14" t="s">
        <v>105</v>
      </c>
      <c r="F64" s="43"/>
      <c r="G64" s="43"/>
      <c r="H64" s="43"/>
      <c r="I64" s="43"/>
      <c r="J64" s="43"/>
      <c r="K64" s="43"/>
      <c r="L64" s="43"/>
      <c r="M64" s="43">
        <f>K64-L64</f>
      </c>
      <c r="N64" s="44">
        <f>K64/I64</f>
      </c>
    </row>
    <row x14ac:dyDescent="0.25" r="65" customHeight="1" ht="17.25">
      <c r="A65" s="1"/>
      <c r="B65" s="13"/>
      <c r="C65" s="36"/>
      <c r="D65" s="42">
        <v>6214</v>
      </c>
      <c r="E65" s="14" t="s">
        <v>106</v>
      </c>
      <c r="F65" s="43"/>
      <c r="G65" s="43"/>
      <c r="H65" s="43"/>
      <c r="I65" s="43"/>
      <c r="J65" s="43"/>
      <c r="K65" s="43"/>
      <c r="L65" s="43"/>
      <c r="M65" s="43">
        <f>K65-L65</f>
      </c>
      <c r="N65" s="44">
        <f>K65/I65</f>
      </c>
    </row>
    <row x14ac:dyDescent="0.25" r="66" customHeight="1" ht="17.25">
      <c r="A66" s="1"/>
      <c r="B66" s="13"/>
      <c r="C66" s="36"/>
      <c r="D66" s="42">
        <v>6215</v>
      </c>
      <c r="E66" s="14" t="s">
        <v>107</v>
      </c>
      <c r="F66" s="43"/>
      <c r="G66" s="43"/>
      <c r="H66" s="43"/>
      <c r="I66" s="43"/>
      <c r="J66" s="43"/>
      <c r="K66" s="43"/>
      <c r="L66" s="43"/>
      <c r="M66" s="43">
        <f>K66-L66</f>
      </c>
      <c r="N66" s="44">
        <f>K66/I66</f>
      </c>
    </row>
    <row x14ac:dyDescent="0.25" r="67" customHeight="1" ht="17.25">
      <c r="A67" s="1"/>
      <c r="B67" s="13"/>
      <c r="C67" s="36"/>
      <c r="D67" s="42">
        <v>6216</v>
      </c>
      <c r="E67" s="14" t="s">
        <v>108</v>
      </c>
      <c r="F67" s="43"/>
      <c r="G67" s="43"/>
      <c r="H67" s="43"/>
      <c r="I67" s="43"/>
      <c r="J67" s="43"/>
      <c r="K67" s="43"/>
      <c r="L67" s="43"/>
      <c r="M67" s="43">
        <f>K67-L67</f>
      </c>
      <c r="N67" s="44">
        <f>K67/I67</f>
      </c>
    </row>
    <row x14ac:dyDescent="0.25" r="68" customHeight="1" ht="17.25">
      <c r="A68" s="1"/>
      <c r="B68" s="13"/>
      <c r="C68" s="36"/>
      <c r="D68" s="42">
        <v>6217</v>
      </c>
      <c r="E68" s="14" t="s">
        <v>109</v>
      </c>
      <c r="F68" s="43"/>
      <c r="G68" s="43"/>
      <c r="H68" s="43"/>
      <c r="I68" s="43"/>
      <c r="J68" s="43"/>
      <c r="K68" s="43"/>
      <c r="L68" s="43"/>
      <c r="M68" s="43">
        <f>K68-L68</f>
      </c>
      <c r="N68" s="44">
        <f>K68/I68</f>
      </c>
    </row>
    <row x14ac:dyDescent="0.25" r="69" customHeight="1" ht="17.25">
      <c r="A69" s="1"/>
      <c r="B69" s="13"/>
      <c r="C69" s="36"/>
      <c r="D69" s="42">
        <v>6218</v>
      </c>
      <c r="E69" s="14" t="s">
        <v>110</v>
      </c>
      <c r="F69" s="43"/>
      <c r="G69" s="43"/>
      <c r="H69" s="43"/>
      <c r="I69" s="43"/>
      <c r="J69" s="43"/>
      <c r="K69" s="43"/>
      <c r="L69" s="43"/>
      <c r="M69" s="43">
        <f>K69-L69</f>
      </c>
      <c r="N69" s="44">
        <f>K69/I69</f>
      </c>
    </row>
    <row x14ac:dyDescent="0.25" r="70" customHeight="1" ht="17.25">
      <c r="A70" s="1"/>
      <c r="B70" s="13"/>
      <c r="C70" s="40">
        <v>622</v>
      </c>
      <c r="D70" s="41"/>
      <c r="E70" s="37" t="s">
        <v>111</v>
      </c>
      <c r="F70" s="38"/>
      <c r="G70" s="38"/>
      <c r="H70" s="38"/>
      <c r="I70" s="38"/>
      <c r="J70" s="38"/>
      <c r="K70" s="38"/>
      <c r="L70" s="38"/>
      <c r="M70" s="38"/>
      <c r="N70" s="38"/>
    </row>
    <row x14ac:dyDescent="0.25" r="71" customHeight="1" ht="17.25">
      <c r="A71" s="1"/>
      <c r="B71" s="13"/>
      <c r="C71" s="36"/>
      <c r="D71" s="42">
        <v>6221</v>
      </c>
      <c r="E71" s="14" t="s">
        <v>112</v>
      </c>
      <c r="F71" s="43"/>
      <c r="G71" s="43"/>
      <c r="H71" s="43"/>
      <c r="I71" s="43"/>
      <c r="J71" s="43"/>
      <c r="K71" s="43"/>
      <c r="L71" s="43"/>
      <c r="M71" s="43">
        <f>K71-L71</f>
      </c>
      <c r="N71" s="44">
        <f>K71/I71</f>
      </c>
    </row>
    <row x14ac:dyDescent="0.25" r="72" customHeight="1" ht="17.25">
      <c r="A72" s="1"/>
      <c r="B72" s="13"/>
      <c r="C72" s="36"/>
      <c r="D72" s="42">
        <v>6222</v>
      </c>
      <c r="E72" s="14" t="s">
        <v>113</v>
      </c>
      <c r="F72" s="43"/>
      <c r="G72" s="43"/>
      <c r="H72" s="43"/>
      <c r="I72" s="43"/>
      <c r="J72" s="43"/>
      <c r="K72" s="43"/>
      <c r="L72" s="43"/>
      <c r="M72" s="43">
        <f>K72-L72</f>
      </c>
      <c r="N72" s="44">
        <f>K72/I72</f>
      </c>
    </row>
    <row x14ac:dyDescent="0.25" r="73" customHeight="1" ht="17.25">
      <c r="A73" s="1"/>
      <c r="B73" s="13"/>
      <c r="C73" s="36"/>
      <c r="D73" s="42">
        <v>6223</v>
      </c>
      <c r="E73" s="14" t="s">
        <v>114</v>
      </c>
      <c r="F73" s="43"/>
      <c r="G73" s="43"/>
      <c r="H73" s="43"/>
      <c r="I73" s="43"/>
      <c r="J73" s="43"/>
      <c r="K73" s="43"/>
      <c r="L73" s="43"/>
      <c r="M73" s="43">
        <f>K73-L73</f>
      </c>
      <c r="N73" s="44">
        <f>K73/I73</f>
      </c>
    </row>
    <row x14ac:dyDescent="0.25" r="74" customHeight="1" ht="17.25">
      <c r="A74" s="1"/>
      <c r="B74" s="13"/>
      <c r="C74" s="36"/>
      <c r="D74" s="42">
        <v>6224</v>
      </c>
      <c r="E74" s="14" t="s">
        <v>115</v>
      </c>
      <c r="F74" s="43"/>
      <c r="G74" s="43"/>
      <c r="H74" s="43"/>
      <c r="I74" s="43"/>
      <c r="J74" s="43"/>
      <c r="K74" s="43"/>
      <c r="L74" s="43"/>
      <c r="M74" s="43">
        <f>K74-L74</f>
      </c>
      <c r="N74" s="44">
        <f>K74/I74</f>
      </c>
    </row>
    <row x14ac:dyDescent="0.25" r="75" customHeight="1" ht="17.25">
      <c r="A75" s="1"/>
      <c r="B75" s="13"/>
      <c r="C75" s="36"/>
      <c r="D75" s="42">
        <v>6225</v>
      </c>
      <c r="E75" s="14" t="s">
        <v>116</v>
      </c>
      <c r="F75" s="43"/>
      <c r="G75" s="43"/>
      <c r="H75" s="43"/>
      <c r="I75" s="43"/>
      <c r="J75" s="43"/>
      <c r="K75" s="43"/>
      <c r="L75" s="43"/>
      <c r="M75" s="43">
        <f>K75-L75</f>
      </c>
      <c r="N75" s="44">
        <f>K75/I75</f>
      </c>
    </row>
    <row x14ac:dyDescent="0.25" r="76" customHeight="1" ht="17.25">
      <c r="A76" s="1"/>
      <c r="B76" s="13"/>
      <c r="C76" s="36"/>
      <c r="D76" s="42">
        <v>6226</v>
      </c>
      <c r="E76" s="14" t="s">
        <v>117</v>
      </c>
      <c r="F76" s="43"/>
      <c r="G76" s="43"/>
      <c r="H76" s="43"/>
      <c r="I76" s="43"/>
      <c r="J76" s="43"/>
      <c r="K76" s="43"/>
      <c r="L76" s="43"/>
      <c r="M76" s="43">
        <f>K76-L76</f>
      </c>
      <c r="N76" s="44">
        <f>K76/I76</f>
      </c>
    </row>
    <row x14ac:dyDescent="0.25" r="77" customHeight="1" ht="17.25">
      <c r="A77" s="1"/>
      <c r="B77" s="13"/>
      <c r="C77" s="40">
        <v>623</v>
      </c>
      <c r="D77" s="41"/>
      <c r="E77" s="37" t="s">
        <v>118</v>
      </c>
      <c r="F77" s="38"/>
      <c r="G77" s="38"/>
      <c r="H77" s="38"/>
      <c r="I77" s="38"/>
      <c r="J77" s="38"/>
      <c r="K77" s="38"/>
      <c r="L77" s="38"/>
      <c r="M77" s="38"/>
      <c r="N77" s="38"/>
    </row>
    <row x14ac:dyDescent="0.25" r="78" customHeight="1" ht="17.25">
      <c r="A78" s="1"/>
      <c r="B78" s="13"/>
      <c r="C78" s="36"/>
      <c r="D78" s="42">
        <v>6231</v>
      </c>
      <c r="E78" s="14" t="s">
        <v>119</v>
      </c>
      <c r="F78" s="43"/>
      <c r="G78" s="43"/>
      <c r="H78" s="43"/>
      <c r="I78" s="43"/>
      <c r="J78" s="43"/>
      <c r="K78" s="43"/>
      <c r="L78" s="43"/>
      <c r="M78" s="43">
        <f>K78-L78</f>
      </c>
      <c r="N78" s="44">
        <f>K78/I78</f>
      </c>
    </row>
    <row x14ac:dyDescent="0.25" r="79" customHeight="1" ht="17.25">
      <c r="A79" s="1"/>
      <c r="B79" s="13"/>
      <c r="C79" s="36"/>
      <c r="D79" s="42">
        <v>6232</v>
      </c>
      <c r="E79" s="14" t="s">
        <v>120</v>
      </c>
      <c r="F79" s="43"/>
      <c r="G79" s="43"/>
      <c r="H79" s="43"/>
      <c r="I79" s="43"/>
      <c r="J79" s="43"/>
      <c r="K79" s="43"/>
      <c r="L79" s="43"/>
      <c r="M79" s="43">
        <f>K79-L79</f>
      </c>
      <c r="N79" s="44">
        <f>K79/I79</f>
      </c>
    </row>
    <row x14ac:dyDescent="0.25" r="80" customHeight="1" ht="17.25">
      <c r="A80" s="1"/>
      <c r="B80" s="13"/>
      <c r="C80" s="36"/>
      <c r="D80" s="42">
        <v>6233</v>
      </c>
      <c r="E80" s="14" t="s">
        <v>121</v>
      </c>
      <c r="F80" s="43"/>
      <c r="G80" s="43"/>
      <c r="H80" s="43"/>
      <c r="I80" s="43"/>
      <c r="J80" s="43"/>
      <c r="K80" s="43"/>
      <c r="L80" s="43"/>
      <c r="M80" s="43">
        <f>K80-L80</f>
      </c>
      <c r="N80" s="44">
        <f>K80/I80</f>
      </c>
    </row>
    <row x14ac:dyDescent="0.25" r="81" customHeight="1" ht="17.25">
      <c r="A81" s="1"/>
      <c r="B81" s="13"/>
      <c r="C81" s="36"/>
      <c r="D81" s="42">
        <v>6234</v>
      </c>
      <c r="E81" s="14" t="s">
        <v>122</v>
      </c>
      <c r="F81" s="43"/>
      <c r="G81" s="43"/>
      <c r="H81" s="43"/>
      <c r="I81" s="43"/>
      <c r="J81" s="43"/>
      <c r="K81" s="43"/>
      <c r="L81" s="43"/>
      <c r="M81" s="43">
        <f>K81-L81</f>
      </c>
      <c r="N81" s="44">
        <f>K81/I81</f>
      </c>
    </row>
    <row x14ac:dyDescent="0.25" r="82" customHeight="1" ht="17.25">
      <c r="A82" s="1"/>
      <c r="B82" s="13"/>
      <c r="C82" s="36"/>
      <c r="D82" s="42">
        <v>6235</v>
      </c>
      <c r="E82" s="14" t="s">
        <v>123</v>
      </c>
      <c r="F82" s="43"/>
      <c r="G82" s="43"/>
      <c r="H82" s="43"/>
      <c r="I82" s="43"/>
      <c r="J82" s="43"/>
      <c r="K82" s="43"/>
      <c r="L82" s="43"/>
      <c r="M82" s="43">
        <f>K82-L82</f>
      </c>
      <c r="N82" s="44">
        <f>K82/I82</f>
      </c>
    </row>
    <row x14ac:dyDescent="0.25" r="83" customHeight="1" ht="17.25">
      <c r="A83" s="1"/>
      <c r="B83" s="13"/>
      <c r="C83" s="40">
        <v>624</v>
      </c>
      <c r="D83" s="41"/>
      <c r="E83" s="37" t="s">
        <v>124</v>
      </c>
      <c r="F83" s="38"/>
      <c r="G83" s="38"/>
      <c r="H83" s="38"/>
      <c r="I83" s="38"/>
      <c r="J83" s="38"/>
      <c r="K83" s="38"/>
      <c r="L83" s="38"/>
      <c r="M83" s="38"/>
      <c r="N83" s="38"/>
    </row>
    <row x14ac:dyDescent="0.25" r="84" customHeight="1" ht="17.25">
      <c r="A84" s="1"/>
      <c r="B84" s="13"/>
      <c r="C84" s="36"/>
      <c r="D84" s="42">
        <v>6241</v>
      </c>
      <c r="E84" s="14" t="s">
        <v>125</v>
      </c>
      <c r="F84" s="43"/>
      <c r="G84" s="43"/>
      <c r="H84" s="43"/>
      <c r="I84" s="43"/>
      <c r="J84" s="43"/>
      <c r="K84" s="43"/>
      <c r="L84" s="43"/>
      <c r="M84" s="43">
        <f>K84-L84</f>
      </c>
      <c r="N84" s="44">
        <f>K84/I84</f>
      </c>
    </row>
    <row x14ac:dyDescent="0.25" r="85" customHeight="1" ht="17.25">
      <c r="A85" s="1"/>
      <c r="B85" s="13"/>
      <c r="C85" s="36"/>
      <c r="D85" s="42">
        <v>6242</v>
      </c>
      <c r="E85" s="14" t="s">
        <v>126</v>
      </c>
      <c r="F85" s="43"/>
      <c r="G85" s="43"/>
      <c r="H85" s="43"/>
      <c r="I85" s="43"/>
      <c r="J85" s="43"/>
      <c r="K85" s="43"/>
      <c r="L85" s="43"/>
      <c r="M85" s="43">
        <f>K85-L85</f>
      </c>
      <c r="N85" s="44">
        <f>K85/I85</f>
      </c>
    </row>
    <row x14ac:dyDescent="0.25" r="86" customHeight="1" ht="17.25">
      <c r="A86" s="1"/>
      <c r="B86" s="13"/>
      <c r="C86" s="36"/>
      <c r="D86" s="42">
        <v>6243</v>
      </c>
      <c r="E86" s="14" t="s">
        <v>127</v>
      </c>
      <c r="F86" s="43"/>
      <c r="G86" s="43"/>
      <c r="H86" s="43"/>
      <c r="I86" s="43"/>
      <c r="J86" s="43"/>
      <c r="K86" s="43"/>
      <c r="L86" s="43"/>
      <c r="M86" s="43">
        <f>K86-L86</f>
      </c>
      <c r="N86" s="44">
        <f>K86/I86</f>
      </c>
    </row>
    <row x14ac:dyDescent="0.25" r="87" customHeight="1" ht="17.25">
      <c r="A87" s="1"/>
      <c r="B87" s="13"/>
      <c r="C87" s="13">
        <v>625</v>
      </c>
      <c r="D87" s="41"/>
      <c r="E87" s="37" t="s">
        <v>128</v>
      </c>
      <c r="F87" s="38"/>
      <c r="G87" s="38"/>
      <c r="H87" s="38"/>
      <c r="I87" s="38"/>
      <c r="J87" s="38"/>
      <c r="K87" s="38"/>
      <c r="L87" s="38"/>
      <c r="M87" s="38"/>
      <c r="N87" s="38"/>
    </row>
    <row x14ac:dyDescent="0.25" r="88" customHeight="1" ht="17.25">
      <c r="A88" s="1"/>
      <c r="B88" s="13"/>
      <c r="C88" s="36"/>
      <c r="D88" s="42">
        <v>6250</v>
      </c>
      <c r="E88" s="14" t="s">
        <v>129</v>
      </c>
      <c r="F88" s="43"/>
      <c r="G88" s="43"/>
      <c r="H88" s="43"/>
      <c r="I88" s="43"/>
      <c r="J88" s="43"/>
      <c r="K88" s="43"/>
      <c r="L88" s="43"/>
      <c r="M88" s="43">
        <f>K88-L88</f>
      </c>
      <c r="N88" s="44">
        <f>K88/I88</f>
      </c>
    </row>
    <row x14ac:dyDescent="0.25" r="89" customHeight="1" ht="17.25">
      <c r="A89" s="1"/>
      <c r="B89" s="13"/>
      <c r="C89" s="13">
        <v>626</v>
      </c>
      <c r="D89" s="41"/>
      <c r="E89" s="37" t="s">
        <v>130</v>
      </c>
      <c r="F89" s="38"/>
      <c r="G89" s="38"/>
      <c r="H89" s="38"/>
      <c r="I89" s="38"/>
      <c r="J89" s="38"/>
      <c r="K89" s="38"/>
      <c r="L89" s="38"/>
      <c r="M89" s="38"/>
      <c r="N89" s="38"/>
    </row>
    <row x14ac:dyDescent="0.25" r="90" customHeight="1" ht="17.25">
      <c r="A90" s="1"/>
      <c r="B90" s="13"/>
      <c r="C90" s="36"/>
      <c r="D90" s="42">
        <v>6261</v>
      </c>
      <c r="E90" s="14" t="s">
        <v>131</v>
      </c>
      <c r="F90" s="43"/>
      <c r="G90" s="43"/>
      <c r="H90" s="43"/>
      <c r="I90" s="43"/>
      <c r="J90" s="43"/>
      <c r="K90" s="43"/>
      <c r="L90" s="43"/>
      <c r="M90" s="43">
        <f>K90-L90</f>
      </c>
      <c r="N90" s="44">
        <f>K90/I90</f>
      </c>
    </row>
    <row x14ac:dyDescent="0.25" r="91" customHeight="1" ht="17.25">
      <c r="A91" s="1"/>
      <c r="B91" s="13"/>
      <c r="C91" s="36"/>
      <c r="D91" s="42">
        <v>6262</v>
      </c>
      <c r="E91" s="14" t="s">
        <v>132</v>
      </c>
      <c r="F91" s="43"/>
      <c r="G91" s="43"/>
      <c r="H91" s="43"/>
      <c r="I91" s="43"/>
      <c r="J91" s="43"/>
      <c r="K91" s="43"/>
      <c r="L91" s="43"/>
      <c r="M91" s="43">
        <f>K91-L91</f>
      </c>
      <c r="N91" s="44">
        <f>K91/I91</f>
      </c>
    </row>
    <row x14ac:dyDescent="0.25" r="92" customHeight="1" ht="17.25">
      <c r="A92" s="1"/>
      <c r="B92" s="13"/>
      <c r="C92" s="36"/>
      <c r="D92" s="42">
        <v>6263</v>
      </c>
      <c r="E92" s="14" t="s">
        <v>133</v>
      </c>
      <c r="F92" s="43"/>
      <c r="G92" s="43"/>
      <c r="H92" s="43"/>
      <c r="I92" s="43"/>
      <c r="J92" s="43"/>
      <c r="K92" s="43"/>
      <c r="L92" s="43"/>
      <c r="M92" s="43">
        <f>K92-L92</f>
      </c>
      <c r="N92" s="44">
        <f>K92/I92</f>
      </c>
    </row>
    <row x14ac:dyDescent="0.25" r="93" customHeight="1" ht="17.25">
      <c r="A93" s="1"/>
      <c r="B93" s="13"/>
      <c r="C93" s="36"/>
      <c r="D93" s="42">
        <v>6264</v>
      </c>
      <c r="E93" s="14" t="s">
        <v>134</v>
      </c>
      <c r="F93" s="43"/>
      <c r="G93" s="43"/>
      <c r="H93" s="43"/>
      <c r="I93" s="43"/>
      <c r="J93" s="43"/>
      <c r="K93" s="43"/>
      <c r="L93" s="43"/>
      <c r="M93" s="43">
        <f>K93-L93</f>
      </c>
      <c r="N93" s="44">
        <f>K93/I93</f>
      </c>
    </row>
    <row x14ac:dyDescent="0.25" r="94" customHeight="1" ht="17.25">
      <c r="A94" s="1"/>
      <c r="B94" s="13"/>
      <c r="C94" s="36"/>
      <c r="D94" s="42">
        <v>6265</v>
      </c>
      <c r="E94" s="14" t="s">
        <v>135</v>
      </c>
      <c r="F94" s="43"/>
      <c r="G94" s="43"/>
      <c r="H94" s="43"/>
      <c r="I94" s="43"/>
      <c r="J94" s="43"/>
      <c r="K94" s="43"/>
      <c r="L94" s="43"/>
      <c r="M94" s="43">
        <f>K94-L94</f>
      </c>
      <c r="N94" s="44">
        <f>K94/I94</f>
      </c>
    </row>
    <row x14ac:dyDescent="0.25" r="95" customHeight="1" ht="17.25">
      <c r="A95" s="1"/>
      <c r="B95" s="13"/>
      <c r="C95" s="36"/>
      <c r="D95" s="42">
        <v>6268</v>
      </c>
      <c r="E95" s="14" t="s">
        <v>136</v>
      </c>
      <c r="F95" s="43"/>
      <c r="G95" s="43"/>
      <c r="H95" s="43"/>
      <c r="I95" s="43"/>
      <c r="J95" s="43"/>
      <c r="K95" s="43"/>
      <c r="L95" s="43"/>
      <c r="M95" s="43">
        <f>K95-L95</f>
      </c>
      <c r="N95" s="44">
        <f>K95/I95</f>
      </c>
    </row>
    <row x14ac:dyDescent="0.25" r="96" customHeight="1" ht="17.25">
      <c r="A96" s="1"/>
      <c r="B96" s="13"/>
      <c r="C96" s="40">
        <v>627</v>
      </c>
      <c r="D96" s="41"/>
      <c r="E96" s="37" t="s">
        <v>137</v>
      </c>
      <c r="F96" s="38"/>
      <c r="G96" s="38"/>
      <c r="H96" s="38"/>
      <c r="I96" s="38"/>
      <c r="J96" s="38"/>
      <c r="K96" s="38"/>
      <c r="L96" s="38"/>
      <c r="M96" s="38"/>
      <c r="N96" s="38"/>
    </row>
    <row x14ac:dyDescent="0.25" r="97" customHeight="1" ht="17.25">
      <c r="A97" s="1"/>
      <c r="B97" s="13"/>
      <c r="C97" s="36"/>
      <c r="D97" s="42">
        <v>6271</v>
      </c>
      <c r="E97" s="14" t="s">
        <v>138</v>
      </c>
      <c r="F97" s="43"/>
      <c r="G97" s="43"/>
      <c r="H97" s="43"/>
      <c r="I97" s="43"/>
      <c r="J97" s="43"/>
      <c r="K97" s="43"/>
      <c r="L97" s="43"/>
      <c r="M97" s="43">
        <f>K97-L97</f>
      </c>
      <c r="N97" s="44">
        <f>K97/I97</f>
      </c>
    </row>
    <row x14ac:dyDescent="0.25" r="98" customHeight="1" ht="17.25">
      <c r="A98" s="1"/>
      <c r="B98" s="13"/>
      <c r="C98" s="36"/>
      <c r="D98" s="42">
        <v>6272</v>
      </c>
      <c r="E98" s="14" t="s">
        <v>139</v>
      </c>
      <c r="F98" s="43"/>
      <c r="G98" s="43"/>
      <c r="H98" s="43"/>
      <c r="I98" s="43"/>
      <c r="J98" s="43"/>
      <c r="K98" s="43"/>
      <c r="L98" s="43"/>
      <c r="M98" s="43">
        <f>K98-L98</f>
      </c>
      <c r="N98" s="44">
        <f>K98/I98</f>
      </c>
    </row>
    <row x14ac:dyDescent="0.25" r="99" customHeight="1" ht="17.25">
      <c r="A99" s="1"/>
      <c r="B99" s="13"/>
      <c r="C99" s="36"/>
      <c r="D99" s="42">
        <v>6273</v>
      </c>
      <c r="E99" s="14" t="s">
        <v>140</v>
      </c>
      <c r="F99" s="43"/>
      <c r="G99" s="43"/>
      <c r="H99" s="43"/>
      <c r="I99" s="43"/>
      <c r="J99" s="43"/>
      <c r="K99" s="43"/>
      <c r="L99" s="43"/>
      <c r="M99" s="43">
        <f>K99-L99</f>
      </c>
      <c r="N99" s="44">
        <f>K99/I99</f>
      </c>
    </row>
    <row x14ac:dyDescent="0.25" r="100" customHeight="1" ht="17.25">
      <c r="A100" s="1"/>
      <c r="B100" s="13"/>
      <c r="C100" s="36"/>
      <c r="D100" s="42">
        <v>6274</v>
      </c>
      <c r="E100" s="14" t="s">
        <v>141</v>
      </c>
      <c r="F100" s="43"/>
      <c r="G100" s="43"/>
      <c r="H100" s="43"/>
      <c r="I100" s="43"/>
      <c r="J100" s="43"/>
      <c r="K100" s="43"/>
      <c r="L100" s="43"/>
      <c r="M100" s="43">
        <f>K100-L100</f>
      </c>
      <c r="N100" s="44">
        <f>K100/I100</f>
      </c>
    </row>
    <row x14ac:dyDescent="0.25" r="101" customHeight="1" ht="17.25">
      <c r="A101" s="1"/>
      <c r="B101" s="13"/>
      <c r="C101" s="36"/>
      <c r="D101" s="42">
        <v>6275</v>
      </c>
      <c r="E101" s="14" t="s">
        <v>142</v>
      </c>
      <c r="F101" s="43"/>
      <c r="G101" s="43"/>
      <c r="H101" s="43"/>
      <c r="I101" s="43"/>
      <c r="J101" s="43"/>
      <c r="K101" s="43"/>
      <c r="L101" s="43"/>
      <c r="M101" s="43">
        <f>K101-L101</f>
      </c>
      <c r="N101" s="44">
        <f>K101/I101</f>
      </c>
    </row>
    <row x14ac:dyDescent="0.25" r="102" customHeight="1" ht="17.25">
      <c r="A102" s="1"/>
      <c r="B102" s="13"/>
      <c r="C102" s="36"/>
      <c r="D102" s="42">
        <v>6278</v>
      </c>
      <c r="E102" s="14" t="s">
        <v>143</v>
      </c>
      <c r="F102" s="43"/>
      <c r="G102" s="43"/>
      <c r="H102" s="43"/>
      <c r="I102" s="43"/>
      <c r="J102" s="43"/>
      <c r="K102" s="43"/>
      <c r="L102" s="43"/>
      <c r="M102" s="43">
        <f>K102-L102</f>
      </c>
      <c r="N102" s="44">
        <f>K102/I102</f>
      </c>
    </row>
    <row x14ac:dyDescent="0.25" r="103" customHeight="1" ht="17.25">
      <c r="A103" s="1"/>
      <c r="B103" s="13"/>
      <c r="C103" s="40">
        <v>628</v>
      </c>
      <c r="D103" s="41"/>
      <c r="E103" s="37" t="s">
        <v>144</v>
      </c>
      <c r="F103" s="38"/>
      <c r="G103" s="38"/>
      <c r="H103" s="38"/>
      <c r="I103" s="38"/>
      <c r="J103" s="38"/>
      <c r="K103" s="38"/>
      <c r="L103" s="38"/>
      <c r="M103" s="38"/>
      <c r="N103" s="38"/>
    </row>
    <row x14ac:dyDescent="0.25" r="104" customHeight="1" ht="17.25">
      <c r="A104" s="1"/>
      <c r="B104" s="13"/>
      <c r="C104" s="36"/>
      <c r="D104" s="42">
        <v>6281</v>
      </c>
      <c r="E104" s="14" t="s">
        <v>145</v>
      </c>
      <c r="F104" s="43"/>
      <c r="G104" s="43"/>
      <c r="H104" s="43"/>
      <c r="I104" s="43"/>
      <c r="J104" s="43"/>
      <c r="K104" s="43"/>
      <c r="L104" s="43"/>
      <c r="M104" s="43">
        <f>K104-L104</f>
      </c>
      <c r="N104" s="44">
        <f>K104/I104</f>
      </c>
    </row>
    <row x14ac:dyDescent="0.25" r="105" customHeight="1" ht="17.25">
      <c r="A105" s="1"/>
      <c r="B105" s="13"/>
      <c r="C105" s="36"/>
      <c r="D105" s="42">
        <v>6282</v>
      </c>
      <c r="E105" s="14" t="s">
        <v>146</v>
      </c>
      <c r="F105" s="43"/>
      <c r="G105" s="43"/>
      <c r="H105" s="43"/>
      <c r="I105" s="43"/>
      <c r="J105" s="43"/>
      <c r="K105" s="43"/>
      <c r="L105" s="43"/>
      <c r="M105" s="43">
        <f>K105-L105</f>
      </c>
      <c r="N105" s="44">
        <f>K105/I105</f>
      </c>
    </row>
    <row x14ac:dyDescent="0.25" r="106" customHeight="1" ht="17.25">
      <c r="A106" s="1"/>
      <c r="B106" s="13"/>
      <c r="C106" s="36"/>
      <c r="D106" s="42">
        <v>6283</v>
      </c>
      <c r="E106" s="14" t="s">
        <v>147</v>
      </c>
      <c r="F106" s="43"/>
      <c r="G106" s="43"/>
      <c r="H106" s="43"/>
      <c r="I106" s="43"/>
      <c r="J106" s="43"/>
      <c r="K106" s="43"/>
      <c r="L106" s="43"/>
      <c r="M106" s="43">
        <f>K106-L106</f>
      </c>
      <c r="N106" s="44">
        <f>K106/I106</f>
      </c>
    </row>
    <row x14ac:dyDescent="0.25" r="107" customHeight="1" ht="17.25">
      <c r="A107" s="1"/>
      <c r="B107" s="13"/>
      <c r="C107" s="36"/>
      <c r="D107" s="42">
        <v>6284</v>
      </c>
      <c r="E107" s="14" t="s">
        <v>148</v>
      </c>
      <c r="F107" s="43"/>
      <c r="G107" s="43"/>
      <c r="H107" s="43"/>
      <c r="I107" s="43"/>
      <c r="J107" s="43"/>
      <c r="K107" s="43"/>
      <c r="L107" s="43"/>
      <c r="M107" s="43">
        <f>K107-L107</f>
      </c>
      <c r="N107" s="44">
        <f>K107/I107</f>
      </c>
    </row>
    <row x14ac:dyDescent="0.25" r="108" customHeight="1" ht="17.25">
      <c r="A108" s="1"/>
      <c r="B108" s="13"/>
      <c r="C108" s="36"/>
      <c r="D108" s="42">
        <v>6285</v>
      </c>
      <c r="E108" s="14" t="s">
        <v>149</v>
      </c>
      <c r="F108" s="43"/>
      <c r="G108" s="43"/>
      <c r="H108" s="43"/>
      <c r="I108" s="43"/>
      <c r="J108" s="43"/>
      <c r="K108" s="43"/>
      <c r="L108" s="43"/>
      <c r="M108" s="43">
        <f>K108-L108</f>
      </c>
      <c r="N108" s="44">
        <f>K108/I108</f>
      </c>
    </row>
    <row x14ac:dyDescent="0.25" r="109" customHeight="1" ht="17.25">
      <c r="A109" s="1"/>
      <c r="B109" s="13"/>
      <c r="C109" s="36"/>
      <c r="D109" s="42">
        <v>6286</v>
      </c>
      <c r="E109" s="14" t="s">
        <v>150</v>
      </c>
      <c r="F109" s="43"/>
      <c r="G109" s="43"/>
      <c r="H109" s="43"/>
      <c r="I109" s="43"/>
      <c r="J109" s="43"/>
      <c r="K109" s="43"/>
      <c r="L109" s="43"/>
      <c r="M109" s="43">
        <f>K109-L109</f>
      </c>
      <c r="N109" s="44">
        <f>K109/I109</f>
      </c>
    </row>
    <row x14ac:dyDescent="0.25" r="110" customHeight="1" ht="17.25">
      <c r="A110" s="1"/>
      <c r="B110" s="13"/>
      <c r="C110" s="36"/>
      <c r="D110" s="42">
        <v>6287</v>
      </c>
      <c r="E110" s="14" t="s">
        <v>151</v>
      </c>
      <c r="F110" s="43"/>
      <c r="G110" s="43"/>
      <c r="H110" s="43"/>
      <c r="I110" s="43"/>
      <c r="J110" s="43"/>
      <c r="K110" s="43"/>
      <c r="L110" s="43"/>
      <c r="M110" s="43">
        <f>K110-L110</f>
      </c>
      <c r="N110" s="44">
        <f>K110/I110</f>
      </c>
    </row>
    <row x14ac:dyDescent="0.25" r="111" customHeight="1" ht="17.25">
      <c r="A111" s="1"/>
      <c r="B111" s="13"/>
      <c r="C111" s="36"/>
      <c r="D111" s="42">
        <v>6288</v>
      </c>
      <c r="E111" s="14" t="s">
        <v>152</v>
      </c>
      <c r="F111" s="43"/>
      <c r="G111" s="43"/>
      <c r="H111" s="43"/>
      <c r="I111" s="43"/>
      <c r="J111" s="43"/>
      <c r="K111" s="43"/>
      <c r="L111" s="43"/>
      <c r="M111" s="43">
        <f>K111-L111</f>
      </c>
      <c r="N111" s="44">
        <f>K111/I111</f>
      </c>
    </row>
    <row x14ac:dyDescent="0.25" r="112" customHeight="1" ht="30">
      <c r="A112" s="1"/>
      <c r="B112" s="13">
        <v>63</v>
      </c>
      <c r="C112" s="36"/>
      <c r="D112" s="36"/>
      <c r="E112" s="37" t="s">
        <v>15</v>
      </c>
      <c r="F112" s="38">
        <f>SUM(F113:F120)</f>
      </c>
      <c r="G112" s="38">
        <f>SUM(G113:G120)</f>
      </c>
      <c r="H112" s="38">
        <f>SUM(H113:H120)</f>
      </c>
      <c r="I112" s="38">
        <f>SUM(I113:I120)</f>
      </c>
      <c r="J112" s="38">
        <f>SUM(J113:J120)</f>
      </c>
      <c r="K112" s="38">
        <f>SUM(K113:K120)</f>
      </c>
      <c r="L112" s="38">
        <f>SUM(L113:L120)</f>
      </c>
      <c r="M112" s="38">
        <f>SUM(M113:M120)</f>
      </c>
      <c r="N112" s="39">
        <f>K112/I112</f>
      </c>
    </row>
    <row x14ac:dyDescent="0.25" r="113" customHeight="1" ht="17.25">
      <c r="A113" s="1"/>
      <c r="B113" s="13"/>
      <c r="C113" s="40">
        <v>631</v>
      </c>
      <c r="D113" s="41"/>
      <c r="E113" s="37" t="s">
        <v>153</v>
      </c>
      <c r="F113" s="38"/>
      <c r="G113" s="38"/>
      <c r="H113" s="38"/>
      <c r="I113" s="38"/>
      <c r="J113" s="38"/>
      <c r="K113" s="38"/>
      <c r="L113" s="38"/>
      <c r="M113" s="38"/>
      <c r="N113" s="38"/>
    </row>
    <row x14ac:dyDescent="0.25" r="114" customHeight="1" ht="17.25">
      <c r="A114" s="1"/>
      <c r="B114" s="13"/>
      <c r="C114" s="36"/>
      <c r="D114" s="42">
        <v>6310</v>
      </c>
      <c r="E114" s="14" t="s">
        <v>153</v>
      </c>
      <c r="F114" s="43"/>
      <c r="G114" s="43"/>
      <c r="H114" s="43"/>
      <c r="I114" s="43"/>
      <c r="J114" s="43"/>
      <c r="K114" s="43"/>
      <c r="L114" s="43"/>
      <c r="M114" s="43">
        <f>K114-L114</f>
      </c>
      <c r="N114" s="44">
        <f>K114/I114</f>
      </c>
    </row>
    <row x14ac:dyDescent="0.25" r="115" customHeight="1" ht="17.25">
      <c r="A115" s="1"/>
      <c r="B115" s="13"/>
      <c r="C115" s="40">
        <v>632</v>
      </c>
      <c r="D115" s="41"/>
      <c r="E115" s="37" t="s">
        <v>154</v>
      </c>
      <c r="F115" s="38"/>
      <c r="G115" s="38"/>
      <c r="H115" s="38"/>
      <c r="I115" s="38"/>
      <c r="J115" s="38"/>
      <c r="K115" s="38"/>
      <c r="L115" s="38"/>
      <c r="M115" s="38"/>
      <c r="N115" s="38"/>
    </row>
    <row x14ac:dyDescent="0.25" r="116" customHeight="1" ht="17.25">
      <c r="A116" s="1"/>
      <c r="B116" s="13"/>
      <c r="C116" s="36"/>
      <c r="D116" s="42">
        <v>6320</v>
      </c>
      <c r="E116" s="14" t="s">
        <v>154</v>
      </c>
      <c r="F116" s="43"/>
      <c r="G116" s="43"/>
      <c r="H116" s="43"/>
      <c r="I116" s="43"/>
      <c r="J116" s="43"/>
      <c r="K116" s="43"/>
      <c r="L116" s="43"/>
      <c r="M116" s="43">
        <f>K116-L116</f>
      </c>
      <c r="N116" s="44">
        <f>K116/I116</f>
      </c>
    </row>
    <row x14ac:dyDescent="0.25" r="117" customHeight="1" ht="17.25">
      <c r="A117" s="1"/>
      <c r="B117" s="13"/>
      <c r="C117" s="40">
        <v>633</v>
      </c>
      <c r="D117" s="41"/>
      <c r="E117" s="37" t="s">
        <v>155</v>
      </c>
      <c r="F117" s="38"/>
      <c r="G117" s="38"/>
      <c r="H117" s="38"/>
      <c r="I117" s="38"/>
      <c r="J117" s="38"/>
      <c r="K117" s="38"/>
      <c r="L117" s="38"/>
      <c r="M117" s="38"/>
      <c r="N117" s="38"/>
    </row>
    <row x14ac:dyDescent="0.25" r="118" customHeight="1" ht="17.25">
      <c r="A118" s="1"/>
      <c r="B118" s="13"/>
      <c r="C118" s="36"/>
      <c r="D118" s="42">
        <v>6330</v>
      </c>
      <c r="E118" s="14" t="s">
        <v>155</v>
      </c>
      <c r="F118" s="43"/>
      <c r="G118" s="43"/>
      <c r="H118" s="43"/>
      <c r="I118" s="43"/>
      <c r="J118" s="43"/>
      <c r="K118" s="43"/>
      <c r="L118" s="43"/>
      <c r="M118" s="43">
        <f>K118-L118</f>
      </c>
      <c r="N118" s="44">
        <f>K118/I118</f>
      </c>
    </row>
    <row x14ac:dyDescent="0.25" r="119" customHeight="1" ht="17.25">
      <c r="A119" s="1"/>
      <c r="B119" s="13"/>
      <c r="C119" s="40">
        <v>638</v>
      </c>
      <c r="D119" s="41"/>
      <c r="E119" s="37" t="s">
        <v>156</v>
      </c>
      <c r="F119" s="38"/>
      <c r="G119" s="38"/>
      <c r="H119" s="38"/>
      <c r="I119" s="38"/>
      <c r="J119" s="38"/>
      <c r="K119" s="38"/>
      <c r="L119" s="38"/>
      <c r="M119" s="38"/>
      <c r="N119" s="38"/>
    </row>
    <row x14ac:dyDescent="0.25" r="120" customHeight="1" ht="17.25">
      <c r="A120" s="1"/>
      <c r="B120" s="13"/>
      <c r="C120" s="36"/>
      <c r="D120" s="42">
        <v>6380</v>
      </c>
      <c r="E120" s="14" t="s">
        <v>156</v>
      </c>
      <c r="F120" s="43"/>
      <c r="G120" s="43"/>
      <c r="H120" s="43"/>
      <c r="I120" s="43"/>
      <c r="J120" s="43"/>
      <c r="K120" s="43"/>
      <c r="L120" s="43"/>
      <c r="M120" s="43">
        <f>K120-L120</f>
      </c>
      <c r="N120" s="44">
        <f>K120/I120</f>
      </c>
    </row>
    <row x14ac:dyDescent="0.25" r="121" customHeight="1" ht="30">
      <c r="A121" s="1"/>
      <c r="B121" s="13">
        <v>64</v>
      </c>
      <c r="C121" s="36"/>
      <c r="D121" s="36"/>
      <c r="E121" s="37" t="s">
        <v>17</v>
      </c>
      <c r="F121" s="38">
        <f>SUM(F122:F131)</f>
      </c>
      <c r="G121" s="38">
        <f>SUM(G122:G131)</f>
      </c>
      <c r="H121" s="38">
        <f>SUM(H122:H131)</f>
      </c>
      <c r="I121" s="38">
        <f>SUM(I122:I131)</f>
      </c>
      <c r="J121" s="38">
        <f>SUM(J122:J131)</f>
      </c>
      <c r="K121" s="38">
        <f>SUM(K122:K131)</f>
      </c>
      <c r="L121" s="38">
        <f>SUM(L122:L131)</f>
      </c>
      <c r="M121" s="38">
        <f>SUM(M122:M131)</f>
      </c>
      <c r="N121" s="39">
        <f>K121/I121</f>
      </c>
    </row>
    <row x14ac:dyDescent="0.25" r="122" customHeight="1" ht="17.25">
      <c r="A122" s="1"/>
      <c r="B122" s="13"/>
      <c r="C122" s="40">
        <v>641</v>
      </c>
      <c r="D122" s="41"/>
      <c r="E122" s="37" t="s">
        <v>157</v>
      </c>
      <c r="F122" s="43"/>
      <c r="G122" s="43"/>
      <c r="H122" s="43"/>
      <c r="I122" s="43"/>
      <c r="J122" s="43"/>
      <c r="K122" s="43"/>
      <c r="L122" s="43"/>
      <c r="M122" s="43"/>
      <c r="N122" s="43"/>
    </row>
    <row x14ac:dyDescent="0.25" r="123" customHeight="1" ht="17.25">
      <c r="A123" s="1"/>
      <c r="B123" s="13"/>
      <c r="C123" s="36"/>
      <c r="D123" s="42">
        <v>6418</v>
      </c>
      <c r="E123" s="14" t="s">
        <v>158</v>
      </c>
      <c r="F123" s="43"/>
      <c r="G123" s="43"/>
      <c r="H123" s="43"/>
      <c r="I123" s="43"/>
      <c r="J123" s="43"/>
      <c r="K123" s="43"/>
      <c r="L123" s="43"/>
      <c r="M123" s="43">
        <f>K123-L123</f>
      </c>
      <c r="N123" s="44">
        <f>K123/I123</f>
      </c>
    </row>
    <row x14ac:dyDescent="0.25" r="124" customHeight="1" ht="17.25">
      <c r="A124" s="1"/>
      <c r="B124" s="13"/>
      <c r="C124" s="40">
        <v>642</v>
      </c>
      <c r="D124" s="36"/>
      <c r="E124" s="37" t="s">
        <v>159</v>
      </c>
      <c r="F124" s="38"/>
      <c r="G124" s="38"/>
      <c r="H124" s="38"/>
      <c r="I124" s="38"/>
      <c r="J124" s="38"/>
      <c r="K124" s="38"/>
      <c r="L124" s="38"/>
      <c r="M124" s="38"/>
      <c r="N124" s="38"/>
    </row>
    <row x14ac:dyDescent="0.25" r="125" customHeight="1" ht="17.25">
      <c r="A125" s="1"/>
      <c r="B125" s="13"/>
      <c r="C125" s="36"/>
      <c r="D125" s="42">
        <v>6420</v>
      </c>
      <c r="E125" s="14" t="s">
        <v>159</v>
      </c>
      <c r="F125" s="43"/>
      <c r="G125" s="43"/>
      <c r="H125" s="43"/>
      <c r="I125" s="43"/>
      <c r="J125" s="43"/>
      <c r="K125" s="43"/>
      <c r="L125" s="43"/>
      <c r="M125" s="43">
        <f>K125-L125</f>
      </c>
      <c r="N125" s="44">
        <f>K125/I125</f>
      </c>
    </row>
    <row x14ac:dyDescent="0.25" r="126" customHeight="1" ht="17.25">
      <c r="A126" s="1"/>
      <c r="B126" s="13"/>
      <c r="C126" s="40">
        <v>643</v>
      </c>
      <c r="D126" s="36"/>
      <c r="E126" s="37" t="s">
        <v>160</v>
      </c>
      <c r="F126" s="38"/>
      <c r="G126" s="38"/>
      <c r="H126" s="38"/>
      <c r="I126" s="38"/>
      <c r="J126" s="38"/>
      <c r="K126" s="38"/>
      <c r="L126" s="38"/>
      <c r="M126" s="38"/>
      <c r="N126" s="38"/>
    </row>
    <row x14ac:dyDescent="0.25" r="127" customHeight="1" ht="17.25">
      <c r="A127" s="1"/>
      <c r="B127" s="13"/>
      <c r="C127" s="36"/>
      <c r="D127" s="42">
        <v>6430</v>
      </c>
      <c r="E127" s="14" t="s">
        <v>160</v>
      </c>
      <c r="F127" s="43"/>
      <c r="G127" s="43"/>
      <c r="H127" s="43"/>
      <c r="I127" s="43"/>
      <c r="J127" s="43"/>
      <c r="K127" s="43"/>
      <c r="L127" s="43"/>
      <c r="M127" s="43">
        <f>K127-L127</f>
      </c>
      <c r="N127" s="44">
        <f>K127/I127</f>
      </c>
    </row>
    <row x14ac:dyDescent="0.25" r="128" customHeight="1" ht="17.25">
      <c r="A128" s="1"/>
      <c r="B128" s="13"/>
      <c r="C128" s="40">
        <v>644</v>
      </c>
      <c r="D128" s="36"/>
      <c r="E128" s="37" t="s">
        <v>161</v>
      </c>
      <c r="F128" s="38"/>
      <c r="G128" s="38"/>
      <c r="H128" s="38"/>
      <c r="I128" s="38"/>
      <c r="J128" s="38"/>
      <c r="K128" s="38"/>
      <c r="L128" s="38"/>
      <c r="M128" s="38"/>
      <c r="N128" s="38"/>
    </row>
    <row x14ac:dyDescent="0.25" r="129" customHeight="1" ht="17.25">
      <c r="A129" s="1"/>
      <c r="B129" s="13"/>
      <c r="C129" s="36"/>
      <c r="D129" s="42">
        <v>6440</v>
      </c>
      <c r="E129" s="14" t="s">
        <v>161</v>
      </c>
      <c r="F129" s="43"/>
      <c r="G129" s="43"/>
      <c r="H129" s="43"/>
      <c r="I129" s="43"/>
      <c r="J129" s="43"/>
      <c r="K129" s="43"/>
      <c r="L129" s="43"/>
      <c r="M129" s="43">
        <f>K129-L129</f>
      </c>
      <c r="N129" s="44">
        <f>K129/I129</f>
      </c>
    </row>
    <row x14ac:dyDescent="0.25" r="130" customHeight="1" ht="17.25">
      <c r="A130" s="1"/>
      <c r="B130" s="13"/>
      <c r="C130" s="40">
        <v>648</v>
      </c>
      <c r="D130" s="36"/>
      <c r="E130" s="37" t="s">
        <v>162</v>
      </c>
      <c r="F130" s="38"/>
      <c r="G130" s="38"/>
      <c r="H130" s="38"/>
      <c r="I130" s="38"/>
      <c r="J130" s="38"/>
      <c r="K130" s="38"/>
      <c r="L130" s="38"/>
      <c r="M130" s="38"/>
      <c r="N130" s="38"/>
    </row>
    <row x14ac:dyDescent="0.25" r="131" customHeight="1" ht="17.25">
      <c r="A131" s="1"/>
      <c r="B131" s="13"/>
      <c r="C131" s="36"/>
      <c r="D131" s="42">
        <v>6480</v>
      </c>
      <c r="E131" s="14" t="s">
        <v>162</v>
      </c>
      <c r="F131" s="43"/>
      <c r="G131" s="43"/>
      <c r="H131" s="43"/>
      <c r="I131" s="43"/>
      <c r="J131" s="43"/>
      <c r="K131" s="43"/>
      <c r="L131" s="43"/>
      <c r="M131" s="43">
        <f>K131-L131</f>
      </c>
      <c r="N131" s="44">
        <f>K131/I131</f>
      </c>
    </row>
    <row x14ac:dyDescent="0.25" r="132" customHeight="1" ht="30">
      <c r="A132" s="1"/>
      <c r="B132" s="13">
        <v>65</v>
      </c>
      <c r="C132" s="36"/>
      <c r="D132" s="36"/>
      <c r="E132" s="37" t="s">
        <v>19</v>
      </c>
      <c r="F132" s="38">
        <f>SUM(F133:F149)</f>
      </c>
      <c r="G132" s="38">
        <f>SUM(G133:G149)</f>
      </c>
      <c r="H132" s="38">
        <f>SUM(H133:H149)</f>
      </c>
      <c r="I132" s="38">
        <f>SUM(I133:I149)</f>
      </c>
      <c r="J132" s="38">
        <f>SUM(J133:J149)</f>
      </c>
      <c r="K132" s="38">
        <f>SUM(K133:K149)</f>
      </c>
      <c r="L132" s="38">
        <f>SUM(L133:L149)</f>
      </c>
      <c r="M132" s="38">
        <f>SUM(M133:M149)</f>
      </c>
      <c r="N132" s="39">
        <f>K132/I132</f>
      </c>
    </row>
    <row x14ac:dyDescent="0.25" r="133" customHeight="1" ht="17.25">
      <c r="A133" s="1"/>
      <c r="B133" s="13"/>
      <c r="C133" s="40">
        <v>651</v>
      </c>
      <c r="D133" s="41"/>
      <c r="E133" s="37" t="s">
        <v>163</v>
      </c>
      <c r="F133" s="43"/>
      <c r="G133" s="43"/>
      <c r="H133" s="43"/>
      <c r="I133" s="43"/>
      <c r="J133" s="43"/>
      <c r="K133" s="43"/>
      <c r="L133" s="43"/>
      <c r="M133" s="43"/>
      <c r="N133" s="43"/>
    </row>
    <row x14ac:dyDescent="0.25" r="134" customHeight="1" ht="17.25">
      <c r="A134" s="1"/>
      <c r="B134" s="13"/>
      <c r="C134" s="36"/>
      <c r="D134" s="42">
        <v>6510</v>
      </c>
      <c r="E134" s="14" t="s">
        <v>163</v>
      </c>
      <c r="F134" s="43"/>
      <c r="G134" s="43"/>
      <c r="H134" s="43"/>
      <c r="I134" s="43"/>
      <c r="J134" s="43"/>
      <c r="K134" s="43"/>
      <c r="L134" s="43"/>
      <c r="M134" s="43">
        <f>K134-L134</f>
      </c>
      <c r="N134" s="44">
        <f>K134/I134</f>
      </c>
    </row>
    <row x14ac:dyDescent="0.25" r="135" customHeight="1" ht="17.25">
      <c r="A135" s="1"/>
      <c r="B135" s="13"/>
      <c r="C135" s="40">
        <v>653</v>
      </c>
      <c r="D135" s="41"/>
      <c r="E135" s="14" t="s">
        <v>164</v>
      </c>
      <c r="F135" s="43"/>
      <c r="G135" s="43"/>
      <c r="H135" s="43"/>
      <c r="I135" s="43"/>
      <c r="J135" s="43"/>
      <c r="K135" s="43"/>
      <c r="L135" s="43"/>
      <c r="M135" s="43"/>
      <c r="N135" s="43"/>
    </row>
    <row x14ac:dyDescent="0.25" r="136" customHeight="1" ht="17.25">
      <c r="A136" s="1"/>
      <c r="B136" s="13"/>
      <c r="C136" s="36"/>
      <c r="D136" s="42">
        <v>6531</v>
      </c>
      <c r="E136" s="14" t="s">
        <v>165</v>
      </c>
      <c r="F136" s="43"/>
      <c r="G136" s="43"/>
      <c r="H136" s="43"/>
      <c r="I136" s="43"/>
      <c r="J136" s="43"/>
      <c r="K136" s="43"/>
      <c r="L136" s="43"/>
      <c r="M136" s="43">
        <f>K136-L136</f>
      </c>
      <c r="N136" s="44">
        <f>K136/I136</f>
      </c>
    </row>
    <row x14ac:dyDescent="0.25" r="137" customHeight="1" ht="17.25">
      <c r="A137" s="1"/>
      <c r="B137" s="13"/>
      <c r="C137" s="36"/>
      <c r="D137" s="42">
        <v>6532</v>
      </c>
      <c r="E137" s="14" t="s">
        <v>166</v>
      </c>
      <c r="F137" s="43"/>
      <c r="G137" s="43"/>
      <c r="H137" s="43"/>
      <c r="I137" s="43"/>
      <c r="J137" s="43"/>
      <c r="K137" s="43"/>
      <c r="L137" s="43"/>
      <c r="M137" s="43">
        <f>K137-L137</f>
      </c>
      <c r="N137" s="44">
        <f>K137/I137</f>
      </c>
    </row>
    <row x14ac:dyDescent="0.25" r="138" customHeight="1" ht="17.25">
      <c r="A138" s="1"/>
      <c r="B138" s="41"/>
      <c r="C138" s="41"/>
      <c r="D138" s="42">
        <v>6533</v>
      </c>
      <c r="E138" s="14" t="s">
        <v>167</v>
      </c>
      <c r="F138" s="43"/>
      <c r="G138" s="43"/>
      <c r="H138" s="43"/>
      <c r="I138" s="43"/>
      <c r="J138" s="43"/>
      <c r="K138" s="43"/>
      <c r="L138" s="43"/>
      <c r="M138" s="43">
        <f>K138-L138</f>
      </c>
      <c r="N138" s="44">
        <f>K138/I138</f>
      </c>
    </row>
    <row x14ac:dyDescent="0.25" r="139" customHeight="1" ht="17.25">
      <c r="A139" s="1"/>
      <c r="B139" s="13"/>
      <c r="C139" s="36"/>
      <c r="D139" s="42">
        <v>6534</v>
      </c>
      <c r="E139" s="14" t="s">
        <v>168</v>
      </c>
      <c r="F139" s="43"/>
      <c r="G139" s="43"/>
      <c r="H139" s="43"/>
      <c r="I139" s="43"/>
      <c r="J139" s="43"/>
      <c r="K139" s="43"/>
      <c r="L139" s="43"/>
      <c r="M139" s="43">
        <f>K139-L139</f>
      </c>
      <c r="N139" s="44">
        <f>K139/I139</f>
      </c>
    </row>
    <row x14ac:dyDescent="0.25" r="140" customHeight="1" ht="17.25">
      <c r="A140" s="1"/>
      <c r="B140" s="13"/>
      <c r="C140" s="40">
        <v>654</v>
      </c>
      <c r="D140" s="41"/>
      <c r="E140" s="37" t="s">
        <v>169</v>
      </c>
      <c r="F140" s="43"/>
      <c r="G140" s="43"/>
      <c r="H140" s="43"/>
      <c r="I140" s="43"/>
      <c r="J140" s="43"/>
      <c r="K140" s="43"/>
      <c r="L140" s="43"/>
      <c r="M140" s="43"/>
      <c r="N140" s="43"/>
    </row>
    <row x14ac:dyDescent="0.25" r="141" customHeight="1" ht="17.25">
      <c r="A141" s="1"/>
      <c r="B141" s="13"/>
      <c r="C141" s="36"/>
      <c r="D141" s="42">
        <v>6540</v>
      </c>
      <c r="E141" s="14" t="s">
        <v>169</v>
      </c>
      <c r="F141" s="43"/>
      <c r="G141" s="43"/>
      <c r="H141" s="43"/>
      <c r="I141" s="43"/>
      <c r="J141" s="43"/>
      <c r="K141" s="43"/>
      <c r="L141" s="43"/>
      <c r="M141" s="43">
        <f>K141-L141</f>
      </c>
      <c r="N141" s="44">
        <f>K141/I141</f>
      </c>
    </row>
    <row x14ac:dyDescent="0.25" r="142" customHeight="1" ht="17.25">
      <c r="A142" s="1"/>
      <c r="B142" s="13"/>
      <c r="C142" s="40">
        <v>655</v>
      </c>
      <c r="D142" s="41"/>
      <c r="E142" s="37" t="s">
        <v>170</v>
      </c>
      <c r="F142" s="43"/>
      <c r="G142" s="43"/>
      <c r="H142" s="43"/>
      <c r="I142" s="43"/>
      <c r="J142" s="43"/>
      <c r="K142" s="43"/>
      <c r="L142" s="43"/>
      <c r="M142" s="43"/>
      <c r="N142" s="43"/>
    </row>
    <row x14ac:dyDescent="0.25" r="143" customHeight="1" ht="17.25">
      <c r="A143" s="1"/>
      <c r="B143" s="13"/>
      <c r="C143" s="36"/>
      <c r="D143" s="42">
        <v>6550</v>
      </c>
      <c r="E143" s="14" t="s">
        <v>170</v>
      </c>
      <c r="F143" s="43"/>
      <c r="G143" s="43"/>
      <c r="H143" s="43"/>
      <c r="I143" s="43"/>
      <c r="J143" s="43"/>
      <c r="K143" s="43"/>
      <c r="L143" s="43"/>
      <c r="M143" s="43">
        <f>K143-L143</f>
      </c>
      <c r="N143" s="44">
        <f>K143/I143</f>
      </c>
    </row>
    <row x14ac:dyDescent="0.25" r="144" customHeight="1" ht="17.25">
      <c r="A144" s="1"/>
      <c r="B144" s="13"/>
      <c r="C144" s="40">
        <v>656</v>
      </c>
      <c r="D144" s="41"/>
      <c r="E144" s="37" t="s">
        <v>171</v>
      </c>
      <c r="F144" s="43"/>
      <c r="G144" s="43"/>
      <c r="H144" s="43"/>
      <c r="I144" s="43"/>
      <c r="J144" s="43"/>
      <c r="K144" s="43"/>
      <c r="L144" s="43"/>
      <c r="M144" s="43"/>
      <c r="N144" s="43"/>
    </row>
    <row x14ac:dyDescent="0.25" r="145" customHeight="1" ht="17.25">
      <c r="A145" s="1"/>
      <c r="B145" s="13"/>
      <c r="C145" s="36"/>
      <c r="D145" s="42">
        <v>6561</v>
      </c>
      <c r="E145" s="14" t="s">
        <v>172</v>
      </c>
      <c r="F145" s="43"/>
      <c r="G145" s="43"/>
      <c r="H145" s="43"/>
      <c r="I145" s="43"/>
      <c r="J145" s="43"/>
      <c r="K145" s="43"/>
      <c r="L145" s="43"/>
      <c r="M145" s="43">
        <f>K145-L145</f>
      </c>
      <c r="N145" s="44">
        <f>K145/I145</f>
      </c>
    </row>
    <row x14ac:dyDescent="0.25" r="146" customHeight="1" ht="17.25">
      <c r="A146" s="1"/>
      <c r="B146" s="13"/>
      <c r="C146" s="36"/>
      <c r="D146" s="42">
        <v>6562</v>
      </c>
      <c r="E146" s="14" t="s">
        <v>173</v>
      </c>
      <c r="F146" s="43"/>
      <c r="G146" s="43"/>
      <c r="H146" s="43"/>
      <c r="I146" s="43"/>
      <c r="J146" s="43"/>
      <c r="K146" s="43"/>
      <c r="L146" s="43"/>
      <c r="M146" s="43">
        <f>K146-L146</f>
      </c>
      <c r="N146" s="44">
        <f>K146/I146</f>
      </c>
    </row>
    <row x14ac:dyDescent="0.25" r="147" customHeight="1" ht="17.25">
      <c r="A147" s="1"/>
      <c r="B147" s="13"/>
      <c r="C147" s="36"/>
      <c r="D147" s="42">
        <v>6563</v>
      </c>
      <c r="E147" s="14" t="s">
        <v>174</v>
      </c>
      <c r="F147" s="43"/>
      <c r="G147" s="43"/>
      <c r="H147" s="43"/>
      <c r="I147" s="43"/>
      <c r="J147" s="43"/>
      <c r="K147" s="43"/>
      <c r="L147" s="43"/>
      <c r="M147" s="43">
        <f>K147-L147</f>
      </c>
      <c r="N147" s="44">
        <f>K147/I147</f>
      </c>
    </row>
    <row x14ac:dyDescent="0.25" r="148" customHeight="1" ht="17.25">
      <c r="A148" s="1"/>
      <c r="B148" s="13"/>
      <c r="C148" s="36"/>
      <c r="D148" s="42">
        <v>6564</v>
      </c>
      <c r="E148" s="14" t="s">
        <v>175</v>
      </c>
      <c r="F148" s="43"/>
      <c r="G148" s="43"/>
      <c r="H148" s="43"/>
      <c r="I148" s="43"/>
      <c r="J148" s="43"/>
      <c r="K148" s="43"/>
      <c r="L148" s="43"/>
      <c r="M148" s="43">
        <f>K148-L148</f>
      </c>
      <c r="N148" s="44">
        <f>K148/I148</f>
      </c>
    </row>
    <row x14ac:dyDescent="0.25" r="149" customHeight="1" ht="17.25">
      <c r="A149" s="1"/>
      <c r="B149" s="13"/>
      <c r="C149" s="36"/>
      <c r="D149" s="42">
        <v>6565</v>
      </c>
      <c r="E149" s="14" t="s">
        <v>176</v>
      </c>
      <c r="F149" s="43"/>
      <c r="G149" s="43"/>
      <c r="H149" s="43"/>
      <c r="I149" s="43"/>
      <c r="J149" s="43"/>
      <c r="K149" s="43"/>
      <c r="L149" s="43"/>
      <c r="M149" s="43">
        <f>K149-L149</f>
      </c>
      <c r="N149" s="44">
        <f>K149/I149</f>
      </c>
    </row>
    <row x14ac:dyDescent="0.25" r="150" customHeight="1" ht="30">
      <c r="A150" s="1"/>
      <c r="B150" s="13">
        <v>66</v>
      </c>
      <c r="C150" s="36"/>
      <c r="D150" s="36"/>
      <c r="E150" s="37" t="s">
        <v>21</v>
      </c>
      <c r="F150" s="38">
        <f>SUM(F151:F164)</f>
      </c>
      <c r="G150" s="38">
        <f>SUM(G151:G164)</f>
      </c>
      <c r="H150" s="38">
        <f>SUM(H151:H164)</f>
      </c>
      <c r="I150" s="38">
        <f>SUM(I151:I164)</f>
      </c>
      <c r="J150" s="38">
        <f>SUM(J151:J164)</f>
      </c>
      <c r="K150" s="38">
        <f>SUM(K151:K164)</f>
      </c>
      <c r="L150" s="38">
        <f>SUM(L151:L164)</f>
      </c>
      <c r="M150" s="38">
        <f>SUM(M151:M164)</f>
      </c>
      <c r="N150" s="39">
        <f>K150/I150</f>
      </c>
    </row>
    <row x14ac:dyDescent="0.25" r="151" customHeight="1" ht="17.25">
      <c r="A151" s="1"/>
      <c r="B151" s="13"/>
      <c r="C151" s="40">
        <v>661</v>
      </c>
      <c r="D151" s="36"/>
      <c r="E151" s="37" t="s">
        <v>177</v>
      </c>
      <c r="F151" s="38"/>
      <c r="G151" s="38"/>
      <c r="H151" s="38"/>
      <c r="I151" s="38"/>
      <c r="J151" s="38"/>
      <c r="K151" s="38"/>
      <c r="L151" s="38"/>
      <c r="M151" s="38"/>
      <c r="N151" s="38"/>
    </row>
    <row x14ac:dyDescent="0.25" r="152" customHeight="1" ht="17.25">
      <c r="A152" s="1"/>
      <c r="B152" s="13"/>
      <c r="C152" s="36"/>
      <c r="D152" s="42">
        <v>6611</v>
      </c>
      <c r="E152" s="14" t="s">
        <v>178</v>
      </c>
      <c r="F152" s="43"/>
      <c r="G152" s="43"/>
      <c r="H152" s="43"/>
      <c r="I152" s="43"/>
      <c r="J152" s="43"/>
      <c r="K152" s="43"/>
      <c r="L152" s="43"/>
      <c r="M152" s="43">
        <f>K152-L152</f>
      </c>
      <c r="N152" s="44">
        <f>K152/I152</f>
      </c>
    </row>
    <row x14ac:dyDescent="0.25" r="153" customHeight="1" ht="17.25">
      <c r="A153" s="1"/>
      <c r="B153" s="13"/>
      <c r="C153" s="36"/>
      <c r="D153" s="42">
        <v>6618</v>
      </c>
      <c r="E153" s="14" t="s">
        <v>179</v>
      </c>
      <c r="F153" s="43"/>
      <c r="G153" s="43"/>
      <c r="H153" s="43"/>
      <c r="I153" s="43"/>
      <c r="J153" s="43"/>
      <c r="K153" s="43"/>
      <c r="L153" s="43"/>
      <c r="M153" s="43">
        <f>K153-L153</f>
      </c>
      <c r="N153" s="44">
        <f>K153/I153</f>
      </c>
    </row>
    <row x14ac:dyDescent="0.25" r="154" customHeight="1" ht="17.25">
      <c r="A154" s="1"/>
      <c r="B154" s="13"/>
      <c r="C154" s="40">
        <v>662</v>
      </c>
      <c r="D154" s="36"/>
      <c r="E154" s="37" t="s">
        <v>180</v>
      </c>
      <c r="F154" s="38"/>
      <c r="G154" s="38"/>
      <c r="H154" s="38"/>
      <c r="I154" s="38"/>
      <c r="J154" s="38"/>
      <c r="K154" s="38"/>
      <c r="L154" s="38"/>
      <c r="M154" s="38"/>
      <c r="N154" s="38"/>
    </row>
    <row x14ac:dyDescent="0.25" r="155" customHeight="1" ht="17.25">
      <c r="A155" s="1"/>
      <c r="B155" s="13"/>
      <c r="C155" s="36"/>
      <c r="D155" s="42">
        <v>6621</v>
      </c>
      <c r="E155" s="14" t="s">
        <v>180</v>
      </c>
      <c r="F155" s="43"/>
      <c r="G155" s="43"/>
      <c r="H155" s="43"/>
      <c r="I155" s="43"/>
      <c r="J155" s="43"/>
      <c r="K155" s="43"/>
      <c r="L155" s="43"/>
      <c r="M155" s="43">
        <f>K155-L155</f>
      </c>
      <c r="N155" s="44">
        <f>K155/I155</f>
      </c>
    </row>
    <row x14ac:dyDescent="0.25" r="156" customHeight="1" ht="17.25">
      <c r="A156" s="1"/>
      <c r="B156" s="13"/>
      <c r="C156" s="36"/>
      <c r="D156" s="42">
        <v>6622</v>
      </c>
      <c r="E156" s="14" t="s">
        <v>181</v>
      </c>
      <c r="F156" s="43"/>
      <c r="G156" s="43"/>
      <c r="H156" s="43"/>
      <c r="I156" s="43"/>
      <c r="J156" s="43"/>
      <c r="K156" s="43"/>
      <c r="L156" s="43"/>
      <c r="M156" s="43">
        <f>K156-L156</f>
      </c>
      <c r="N156" s="44">
        <f>K156/I156</f>
      </c>
    </row>
    <row x14ac:dyDescent="0.25" r="157" customHeight="1" ht="17.25">
      <c r="A157" s="1"/>
      <c r="B157" s="13"/>
      <c r="C157" s="40">
        <v>663</v>
      </c>
      <c r="D157" s="36"/>
      <c r="E157" s="37" t="s">
        <v>182</v>
      </c>
      <c r="F157" s="38"/>
      <c r="G157" s="38"/>
      <c r="H157" s="38"/>
      <c r="I157" s="38"/>
      <c r="J157" s="38"/>
      <c r="K157" s="38"/>
      <c r="L157" s="38"/>
      <c r="M157" s="38"/>
      <c r="N157" s="38"/>
    </row>
    <row x14ac:dyDescent="0.25" r="158" customHeight="1" ht="17.25">
      <c r="A158" s="1"/>
      <c r="B158" s="13"/>
      <c r="C158" s="36"/>
      <c r="D158" s="42">
        <v>6631</v>
      </c>
      <c r="E158" s="14" t="s">
        <v>183</v>
      </c>
      <c r="F158" s="43"/>
      <c r="G158" s="43"/>
      <c r="H158" s="43"/>
      <c r="I158" s="43"/>
      <c r="J158" s="43"/>
      <c r="K158" s="43"/>
      <c r="L158" s="43"/>
      <c r="M158" s="43">
        <f>K158-L158</f>
      </c>
      <c r="N158" s="44">
        <f>K158/I158</f>
      </c>
    </row>
    <row x14ac:dyDescent="0.25" r="159" customHeight="1" ht="17.25">
      <c r="A159" s="1"/>
      <c r="B159" s="13"/>
      <c r="C159" s="36"/>
      <c r="D159" s="42">
        <v>6632</v>
      </c>
      <c r="E159" s="14" t="s">
        <v>184</v>
      </c>
      <c r="F159" s="43"/>
      <c r="G159" s="43"/>
      <c r="H159" s="43"/>
      <c r="I159" s="43"/>
      <c r="J159" s="43"/>
      <c r="K159" s="43"/>
      <c r="L159" s="43"/>
      <c r="M159" s="43">
        <f>K159-L159</f>
      </c>
      <c r="N159" s="44">
        <f>K159/I159</f>
      </c>
    </row>
    <row x14ac:dyDescent="0.25" r="160" customHeight="1" ht="17.25">
      <c r="A160" s="1"/>
      <c r="B160" s="13"/>
      <c r="C160" s="40">
        <v>666</v>
      </c>
      <c r="D160" s="36"/>
      <c r="E160" s="37" t="s">
        <v>185</v>
      </c>
      <c r="F160" s="38"/>
      <c r="G160" s="38"/>
      <c r="H160" s="38"/>
      <c r="I160" s="38"/>
      <c r="J160" s="38"/>
      <c r="K160" s="38"/>
      <c r="L160" s="38"/>
      <c r="M160" s="38"/>
      <c r="N160" s="38"/>
    </row>
    <row x14ac:dyDescent="0.25" r="161" customHeight="1" ht="17.25">
      <c r="A161" s="1"/>
      <c r="B161" s="13"/>
      <c r="C161" s="36"/>
      <c r="D161" s="42">
        <v>6660</v>
      </c>
      <c r="E161" s="14" t="s">
        <v>186</v>
      </c>
      <c r="F161" s="43"/>
      <c r="G161" s="43"/>
      <c r="H161" s="43"/>
      <c r="I161" s="43"/>
      <c r="J161" s="43"/>
      <c r="K161" s="43"/>
      <c r="L161" s="43"/>
      <c r="M161" s="43">
        <f>K161-L161</f>
      </c>
      <c r="N161" s="44">
        <f>K161/I161</f>
      </c>
    </row>
    <row x14ac:dyDescent="0.25" r="162" customHeight="1" ht="17.25">
      <c r="A162" s="1"/>
      <c r="B162" s="13"/>
      <c r="C162" s="40">
        <v>668</v>
      </c>
      <c r="D162" s="36"/>
      <c r="E162" s="37" t="s">
        <v>187</v>
      </c>
      <c r="F162" s="38"/>
      <c r="G162" s="38"/>
      <c r="H162" s="38"/>
      <c r="I162" s="38"/>
      <c r="J162" s="38"/>
      <c r="K162" s="38"/>
      <c r="L162" s="38"/>
      <c r="M162" s="38"/>
      <c r="N162" s="38"/>
    </row>
    <row x14ac:dyDescent="0.25" r="163" customHeight="1" ht="17.25">
      <c r="A163" s="1"/>
      <c r="B163" s="13"/>
      <c r="C163" s="36"/>
      <c r="D163" s="42">
        <v>6681</v>
      </c>
      <c r="E163" s="14" t="s">
        <v>188</v>
      </c>
      <c r="F163" s="43"/>
      <c r="G163" s="43"/>
      <c r="H163" s="43"/>
      <c r="I163" s="43"/>
      <c r="J163" s="43"/>
      <c r="K163" s="43"/>
      <c r="L163" s="43"/>
      <c r="M163" s="43">
        <f>K163-L163</f>
      </c>
      <c r="N163" s="44">
        <f>K163/I163</f>
      </c>
    </row>
    <row x14ac:dyDescent="0.25" r="164" customHeight="1" ht="17.25">
      <c r="A164" s="1"/>
      <c r="B164" s="13"/>
      <c r="C164" s="36"/>
      <c r="D164" s="42">
        <v>6688</v>
      </c>
      <c r="E164" s="14" t="s">
        <v>187</v>
      </c>
      <c r="F164" s="43"/>
      <c r="G164" s="43"/>
      <c r="H164" s="43"/>
      <c r="I164" s="43"/>
      <c r="J164" s="43"/>
      <c r="K164" s="43"/>
      <c r="L164" s="43"/>
      <c r="M164" s="43">
        <f>K164-L164</f>
      </c>
      <c r="N164" s="44">
        <f>K164/I164</f>
      </c>
    </row>
    <row x14ac:dyDescent="0.25" r="165" customHeight="1" ht="30">
      <c r="A165" s="1"/>
      <c r="B165" s="13">
        <v>67</v>
      </c>
      <c r="C165" s="36"/>
      <c r="D165" s="36"/>
      <c r="E165" s="37" t="s">
        <v>23</v>
      </c>
      <c r="F165" s="38">
        <f>SUM(F166:F186)</f>
      </c>
      <c r="G165" s="38">
        <f>SUM(G166:G186)</f>
      </c>
      <c r="H165" s="38">
        <f>SUM(H166:H186)</f>
      </c>
      <c r="I165" s="38">
        <f>SUM(I166:I186)</f>
      </c>
      <c r="J165" s="38">
        <f>SUM(J166:J186)</f>
      </c>
      <c r="K165" s="38">
        <f>SUM(K166:K186)</f>
      </c>
      <c r="L165" s="38">
        <f>SUM(L166:L186)</f>
      </c>
      <c r="M165" s="38">
        <f>SUM(M166:M186)</f>
      </c>
      <c r="N165" s="39">
        <f>K165/I165</f>
      </c>
    </row>
    <row x14ac:dyDescent="0.25" r="166" customHeight="1" ht="17.25">
      <c r="A166" s="1"/>
      <c r="B166" s="13"/>
      <c r="C166" s="40">
        <v>671</v>
      </c>
      <c r="D166" s="36"/>
      <c r="E166" s="37" t="s">
        <v>189</v>
      </c>
      <c r="F166" s="38"/>
      <c r="G166" s="38"/>
      <c r="H166" s="38"/>
      <c r="I166" s="38"/>
      <c r="J166" s="38"/>
      <c r="K166" s="38"/>
      <c r="L166" s="38"/>
      <c r="M166" s="38"/>
      <c r="N166" s="38"/>
    </row>
    <row x14ac:dyDescent="0.25" r="167" customHeight="1" ht="17.25">
      <c r="A167" s="1"/>
      <c r="B167" s="13"/>
      <c r="C167" s="36"/>
      <c r="D167" s="42">
        <v>6711</v>
      </c>
      <c r="E167" s="14" t="s">
        <v>190</v>
      </c>
      <c r="F167" s="43"/>
      <c r="G167" s="43"/>
      <c r="H167" s="43"/>
      <c r="I167" s="43"/>
      <c r="J167" s="43"/>
      <c r="K167" s="43"/>
      <c r="L167" s="43"/>
      <c r="M167" s="43">
        <f>K167-L167</f>
      </c>
      <c r="N167" s="44">
        <f>K167/I167</f>
      </c>
    </row>
    <row x14ac:dyDescent="0.25" r="168" customHeight="1" ht="17.25">
      <c r="A168" s="1"/>
      <c r="B168" s="13"/>
      <c r="C168" s="36"/>
      <c r="D168" s="42">
        <v>6712</v>
      </c>
      <c r="E168" s="14" t="s">
        <v>191</v>
      </c>
      <c r="F168" s="43"/>
      <c r="G168" s="43"/>
      <c r="H168" s="43"/>
      <c r="I168" s="43"/>
      <c r="J168" s="43"/>
      <c r="K168" s="43"/>
      <c r="L168" s="43"/>
      <c r="M168" s="43">
        <f>K168-L168</f>
      </c>
      <c r="N168" s="44">
        <f>K168/I168</f>
      </c>
    </row>
    <row x14ac:dyDescent="0.25" r="169" customHeight="1" ht="17.25">
      <c r="A169" s="1"/>
      <c r="B169" s="13"/>
      <c r="C169" s="36"/>
      <c r="D169" s="42">
        <v>6713</v>
      </c>
      <c r="E169" s="14" t="s">
        <v>192</v>
      </c>
      <c r="F169" s="43"/>
      <c r="G169" s="43"/>
      <c r="H169" s="43"/>
      <c r="I169" s="43"/>
      <c r="J169" s="43"/>
      <c r="K169" s="43"/>
      <c r="L169" s="43"/>
      <c r="M169" s="43">
        <f>K169-L169</f>
      </c>
      <c r="N169" s="44">
        <f>K169/I169</f>
      </c>
    </row>
    <row x14ac:dyDescent="0.25" r="170" customHeight="1" ht="17.25">
      <c r="A170" s="1"/>
      <c r="B170" s="13"/>
      <c r="C170" s="36"/>
      <c r="D170" s="42">
        <v>6714</v>
      </c>
      <c r="E170" s="14" t="s">
        <v>193</v>
      </c>
      <c r="F170" s="43"/>
      <c r="G170" s="43"/>
      <c r="H170" s="43"/>
      <c r="I170" s="43"/>
      <c r="J170" s="43"/>
      <c r="K170" s="43"/>
      <c r="L170" s="43"/>
      <c r="M170" s="43">
        <f>K170-L170</f>
      </c>
      <c r="N170" s="44">
        <f>K170/I170</f>
      </c>
    </row>
    <row x14ac:dyDescent="0.25" r="171" customHeight="1" ht="17.25">
      <c r="A171" s="1"/>
      <c r="B171" s="13"/>
      <c r="C171" s="36"/>
      <c r="D171" s="42">
        <v>6718</v>
      </c>
      <c r="E171" s="14" t="s">
        <v>136</v>
      </c>
      <c r="F171" s="43"/>
      <c r="G171" s="43"/>
      <c r="H171" s="43"/>
      <c r="I171" s="43"/>
      <c r="J171" s="43"/>
      <c r="K171" s="43"/>
      <c r="L171" s="43"/>
      <c r="M171" s="43">
        <f>K171-L171</f>
      </c>
      <c r="N171" s="44">
        <f>K171/I171</f>
      </c>
    </row>
    <row x14ac:dyDescent="0.25" r="172" customHeight="1" ht="17.25">
      <c r="A172" s="1"/>
      <c r="B172" s="13"/>
      <c r="C172" s="40">
        <v>672</v>
      </c>
      <c r="D172" s="36"/>
      <c r="E172" s="37" t="s">
        <v>194</v>
      </c>
      <c r="F172" s="38"/>
      <c r="G172" s="38"/>
      <c r="H172" s="38"/>
      <c r="I172" s="38"/>
      <c r="J172" s="38"/>
      <c r="K172" s="38"/>
      <c r="L172" s="38"/>
      <c r="M172" s="38"/>
      <c r="N172" s="38"/>
    </row>
    <row x14ac:dyDescent="0.25" r="173" customHeight="1" ht="17.25">
      <c r="A173" s="1"/>
      <c r="B173" s="13"/>
      <c r="C173" s="36"/>
      <c r="D173" s="42">
        <v>6720</v>
      </c>
      <c r="E173" s="14" t="s">
        <v>195</v>
      </c>
      <c r="F173" s="43"/>
      <c r="G173" s="43"/>
      <c r="H173" s="43"/>
      <c r="I173" s="43"/>
      <c r="J173" s="43"/>
      <c r="K173" s="43"/>
      <c r="L173" s="43"/>
      <c r="M173" s="43">
        <f>K173-L173</f>
      </c>
      <c r="N173" s="44">
        <f>K173/I173</f>
      </c>
    </row>
    <row x14ac:dyDescent="0.25" r="174" customHeight="1" ht="17.25">
      <c r="A174" s="1"/>
      <c r="B174" s="13"/>
      <c r="C174" s="40">
        <v>673</v>
      </c>
      <c r="D174" s="36"/>
      <c r="E174" s="37" t="s">
        <v>196</v>
      </c>
      <c r="F174" s="38"/>
      <c r="G174" s="38"/>
      <c r="H174" s="38"/>
      <c r="I174" s="38"/>
      <c r="J174" s="38"/>
      <c r="K174" s="38"/>
      <c r="L174" s="38"/>
      <c r="M174" s="38"/>
      <c r="N174" s="38"/>
    </row>
    <row x14ac:dyDescent="0.25" r="175" customHeight="1" ht="17.25">
      <c r="A175" s="1"/>
      <c r="B175" s="13"/>
      <c r="C175" s="36"/>
      <c r="D175" s="42">
        <v>6730</v>
      </c>
      <c r="E175" s="14" t="s">
        <v>196</v>
      </c>
      <c r="F175" s="43"/>
      <c r="G175" s="43"/>
      <c r="H175" s="43"/>
      <c r="I175" s="43"/>
      <c r="J175" s="43"/>
      <c r="K175" s="43"/>
      <c r="L175" s="43"/>
      <c r="M175" s="43">
        <f>K175-L175</f>
      </c>
      <c r="N175" s="44">
        <f>K175/I175</f>
      </c>
    </row>
    <row x14ac:dyDescent="0.25" r="176" customHeight="1" ht="17.25">
      <c r="A176" s="1"/>
      <c r="B176" s="13"/>
      <c r="C176" s="40">
        <v>674</v>
      </c>
      <c r="D176" s="36"/>
      <c r="E176" s="37" t="s">
        <v>197</v>
      </c>
      <c r="F176" s="38"/>
      <c r="G176" s="38"/>
      <c r="H176" s="38"/>
      <c r="I176" s="38"/>
      <c r="J176" s="38"/>
      <c r="K176" s="38"/>
      <c r="L176" s="38"/>
      <c r="M176" s="38"/>
      <c r="N176" s="38"/>
    </row>
    <row x14ac:dyDescent="0.25" r="177" customHeight="1" ht="17.25">
      <c r="A177" s="1"/>
      <c r="B177" s="13"/>
      <c r="C177" s="36"/>
      <c r="D177" s="42">
        <v>6741</v>
      </c>
      <c r="E177" s="14" t="s">
        <v>198</v>
      </c>
      <c r="F177" s="43"/>
      <c r="G177" s="43"/>
      <c r="H177" s="43"/>
      <c r="I177" s="43"/>
      <c r="J177" s="43"/>
      <c r="K177" s="43"/>
      <c r="L177" s="43"/>
      <c r="M177" s="43">
        <f>K177-L177</f>
      </c>
      <c r="N177" s="44">
        <f>K177/I177</f>
      </c>
    </row>
    <row x14ac:dyDescent="0.25" r="178" customHeight="1" ht="17.25">
      <c r="A178" s="1"/>
      <c r="B178" s="13"/>
      <c r="C178" s="36"/>
      <c r="D178" s="42">
        <v>6742</v>
      </c>
      <c r="E178" s="14" t="s">
        <v>199</v>
      </c>
      <c r="F178" s="43"/>
      <c r="G178" s="43"/>
      <c r="H178" s="43"/>
      <c r="I178" s="43"/>
      <c r="J178" s="43"/>
      <c r="K178" s="43"/>
      <c r="L178" s="43"/>
      <c r="M178" s="43">
        <f>K178-L178</f>
      </c>
      <c r="N178" s="44">
        <f>K178/I178</f>
      </c>
    </row>
    <row x14ac:dyDescent="0.25" r="179" customHeight="1" ht="17.25">
      <c r="A179" s="1"/>
      <c r="B179" s="13"/>
      <c r="C179" s="40">
        <v>675</v>
      </c>
      <c r="D179" s="36"/>
      <c r="E179" s="37" t="s">
        <v>200</v>
      </c>
      <c r="F179" s="38"/>
      <c r="G179" s="38"/>
      <c r="H179" s="38"/>
      <c r="I179" s="38"/>
      <c r="J179" s="38"/>
      <c r="K179" s="38"/>
      <c r="L179" s="38"/>
      <c r="M179" s="38"/>
      <c r="N179" s="38"/>
    </row>
    <row x14ac:dyDescent="0.25" r="180" customHeight="1" ht="17.25">
      <c r="A180" s="1"/>
      <c r="B180" s="13"/>
      <c r="C180" s="36"/>
      <c r="D180" s="42">
        <v>6751</v>
      </c>
      <c r="E180" s="14" t="s">
        <v>200</v>
      </c>
      <c r="F180" s="43"/>
      <c r="G180" s="43"/>
      <c r="H180" s="43"/>
      <c r="I180" s="43"/>
      <c r="J180" s="43"/>
      <c r="K180" s="43"/>
      <c r="L180" s="43"/>
      <c r="M180" s="43">
        <f>K180-L180</f>
      </c>
      <c r="N180" s="44">
        <f>K180/I180</f>
      </c>
    </row>
    <row x14ac:dyDescent="0.25" r="181" customHeight="1" ht="17.25">
      <c r="A181" s="1"/>
      <c r="B181" s="13"/>
      <c r="C181" s="36"/>
      <c r="D181" s="42">
        <v>6752</v>
      </c>
      <c r="E181" s="14" t="s">
        <v>201</v>
      </c>
      <c r="F181" s="43"/>
      <c r="G181" s="43"/>
      <c r="H181" s="43"/>
      <c r="I181" s="43"/>
      <c r="J181" s="43"/>
      <c r="K181" s="43"/>
      <c r="L181" s="43"/>
      <c r="M181" s="43">
        <f>K181-L181</f>
      </c>
      <c r="N181" s="44">
        <f>K181/I181</f>
      </c>
    </row>
    <row x14ac:dyDescent="0.25" r="182" customHeight="1" ht="17.25">
      <c r="A182" s="1"/>
      <c r="B182" s="13"/>
      <c r="C182" s="36"/>
      <c r="D182" s="42">
        <v>6753</v>
      </c>
      <c r="E182" s="14" t="s">
        <v>202</v>
      </c>
      <c r="F182" s="43"/>
      <c r="G182" s="43"/>
      <c r="H182" s="43"/>
      <c r="I182" s="43"/>
      <c r="J182" s="43"/>
      <c r="K182" s="43"/>
      <c r="L182" s="43"/>
      <c r="M182" s="43">
        <f>K182-L182</f>
      </c>
      <c r="N182" s="44">
        <f>K182/I182</f>
      </c>
    </row>
    <row x14ac:dyDescent="0.25" r="183" customHeight="1" ht="17.25">
      <c r="A183" s="1"/>
      <c r="B183" s="13"/>
      <c r="C183" s="40">
        <v>678</v>
      </c>
      <c r="D183" s="36"/>
      <c r="E183" s="37" t="s">
        <v>203</v>
      </c>
      <c r="F183" s="38"/>
      <c r="G183" s="38"/>
      <c r="H183" s="38"/>
      <c r="I183" s="38"/>
      <c r="J183" s="38"/>
      <c r="K183" s="38"/>
      <c r="L183" s="38"/>
      <c r="M183" s="38"/>
      <c r="N183" s="38"/>
    </row>
    <row x14ac:dyDescent="0.25" r="184" customHeight="1" ht="17.25">
      <c r="A184" s="1"/>
      <c r="B184" s="13"/>
      <c r="C184" s="36"/>
      <c r="D184" s="42">
        <v>6781</v>
      </c>
      <c r="E184" s="14" t="s">
        <v>204</v>
      </c>
      <c r="F184" s="43"/>
      <c r="G184" s="43"/>
      <c r="H184" s="43"/>
      <c r="I184" s="43"/>
      <c r="J184" s="43"/>
      <c r="K184" s="43"/>
      <c r="L184" s="43"/>
      <c r="M184" s="43">
        <f>K184-L184</f>
      </c>
      <c r="N184" s="44">
        <f>K184/I184</f>
      </c>
    </row>
    <row x14ac:dyDescent="0.25" r="185" customHeight="1" ht="17.25">
      <c r="A185" s="1"/>
      <c r="B185" s="13"/>
      <c r="C185" s="36"/>
      <c r="D185" s="42">
        <v>6782</v>
      </c>
      <c r="E185" s="14" t="s">
        <v>205</v>
      </c>
      <c r="F185" s="43"/>
      <c r="G185" s="43"/>
      <c r="H185" s="43"/>
      <c r="I185" s="43"/>
      <c r="J185" s="43"/>
      <c r="K185" s="43"/>
      <c r="L185" s="43"/>
      <c r="M185" s="43">
        <f>K185-L185</f>
      </c>
      <c r="N185" s="44">
        <f>K185/I185</f>
      </c>
    </row>
    <row x14ac:dyDescent="0.25" r="186" customHeight="1" ht="17.25">
      <c r="A186" s="1"/>
      <c r="B186" s="13"/>
      <c r="C186" s="36"/>
      <c r="D186" s="42">
        <v>6788</v>
      </c>
      <c r="E186" s="14" t="s">
        <v>136</v>
      </c>
      <c r="F186" s="43"/>
      <c r="G186" s="43"/>
      <c r="H186" s="43"/>
      <c r="I186" s="43"/>
      <c r="J186" s="43"/>
      <c r="K186" s="43"/>
      <c r="L186" s="43"/>
      <c r="M186" s="43">
        <f>K186-L186</f>
      </c>
      <c r="N186" s="44">
        <f>K186/I186</f>
      </c>
    </row>
    <row x14ac:dyDescent="0.25" r="187" customHeight="1" ht="30">
      <c r="A187" s="1"/>
      <c r="B187" s="15"/>
      <c r="C187" s="45"/>
      <c r="D187" s="45"/>
      <c r="E187" s="16" t="s">
        <v>26</v>
      </c>
      <c r="F187" s="46">
        <f>F10+F29+F60+F112+F121+F132+F150+F165</f>
      </c>
      <c r="G187" s="46">
        <f>G10+G29+G60+G112+G121+G132+G150+G165</f>
      </c>
      <c r="H187" s="46">
        <f>H10+H29+H60+H112+H121+H132+H150+H165</f>
      </c>
      <c r="I187" s="46">
        <f>I10+I29+I60+I112+I121+I132+I150+I165</f>
      </c>
      <c r="J187" s="46">
        <f>J10+J29+J60+J112+J121+J132+J150+J165</f>
      </c>
      <c r="K187" s="46">
        <f>K10+K29+K60+K112+K121+K132+K150+K165</f>
      </c>
      <c r="L187" s="46">
        <f>L10+L29+L60+L112+L121+L132+L150+L165</f>
      </c>
      <c r="M187" s="46">
        <f>M10+M29+M60+M112+M121+M132+M150+M165</f>
      </c>
      <c r="N187" s="39">
        <f>K187/I187</f>
      </c>
    </row>
    <row x14ac:dyDescent="0.25" r="188" customHeight="1" ht="30">
      <c r="A188" s="1"/>
      <c r="B188" s="13">
        <v>12</v>
      </c>
      <c r="C188" s="36"/>
      <c r="D188" s="36"/>
      <c r="E188" s="37" t="s">
        <v>27</v>
      </c>
      <c r="F188" s="38"/>
      <c r="G188" s="38"/>
      <c r="H188" s="38"/>
      <c r="I188" s="38"/>
      <c r="J188" s="38"/>
      <c r="K188" s="38"/>
      <c r="L188" s="38"/>
      <c r="M188" s="38">
        <f>K188-L188</f>
      </c>
      <c r="N188" s="38"/>
    </row>
    <row x14ac:dyDescent="0.25" r="189" customHeight="1" ht="30">
      <c r="A189" s="1"/>
      <c r="B189" s="15"/>
      <c r="C189" s="45"/>
      <c r="D189" s="45"/>
      <c r="E189" s="16" t="s">
        <v>29</v>
      </c>
      <c r="F189" s="46">
        <f>SUM(F188)</f>
      </c>
      <c r="G189" s="46">
        <f>SUM(G188)</f>
      </c>
      <c r="H189" s="46">
        <f>SUM(H188)</f>
      </c>
      <c r="I189" s="46">
        <f>SUM(I188)</f>
      </c>
      <c r="J189" s="46">
        <f>SUM(J188)</f>
      </c>
      <c r="K189" s="46">
        <f>SUM(K188)</f>
      </c>
      <c r="L189" s="46">
        <f>SUM(L188)</f>
      </c>
      <c r="M189" s="46">
        <f>SUM(M188)</f>
      </c>
      <c r="N189" s="39">
        <f>K189/I189</f>
      </c>
    </row>
    <row x14ac:dyDescent="0.25" r="190" customHeight="1" ht="30">
      <c r="A190" s="1"/>
      <c r="B190" s="15"/>
      <c r="C190" s="45"/>
      <c r="D190" s="45"/>
      <c r="E190" s="16" t="s">
        <v>206</v>
      </c>
      <c r="F190" s="46">
        <f>F187+F189</f>
      </c>
      <c r="G190" s="46">
        <f>G187+G189</f>
      </c>
      <c r="H190" s="46">
        <f>H187+H189</f>
      </c>
      <c r="I190" s="46">
        <f>I187+I189</f>
      </c>
      <c r="J190" s="46">
        <f>J187+J189</f>
      </c>
      <c r="K190" s="46">
        <f>K187+K189</f>
      </c>
      <c r="L190" s="46">
        <f>L187+L189</f>
      </c>
      <c r="M190" s="46">
        <f>M187+M189</f>
      </c>
      <c r="N190" s="39">
        <f>K190/I190</f>
      </c>
    </row>
    <row x14ac:dyDescent="0.25" r="191" customHeight="1" ht="17.25">
      <c r="A191" s="1"/>
      <c r="B191" s="3"/>
      <c r="C191" s="2"/>
      <c r="D191" s="2"/>
      <c r="E191" s="1"/>
      <c r="F191" s="24"/>
      <c r="G191" s="24"/>
      <c r="H191" s="24"/>
      <c r="I191" s="24"/>
      <c r="J191" s="24"/>
      <c r="K191" s="24"/>
      <c r="L191" s="24"/>
      <c r="M191" s="24"/>
      <c r="N191" s="1"/>
    </row>
    <row x14ac:dyDescent="0.25" r="192" customHeight="1" ht="28.8">
      <c r="A192" s="1"/>
      <c r="B192" s="29" t="s">
        <v>207</v>
      </c>
      <c r="C192" s="29"/>
      <c r="D192" s="29"/>
      <c r="E192" s="30"/>
      <c r="F192" s="31"/>
      <c r="G192" s="31"/>
      <c r="H192" s="31"/>
      <c r="I192" s="31"/>
      <c r="J192" s="31"/>
      <c r="K192" s="31"/>
      <c r="L192" s="31"/>
      <c r="M192" s="31"/>
      <c r="N192" s="30"/>
    </row>
    <row x14ac:dyDescent="0.25" r="193" customHeight="1" ht="17.25">
      <c r="A193" s="1"/>
      <c r="B193" s="32" t="s">
        <v>4</v>
      </c>
      <c r="C193" s="47"/>
      <c r="D193" s="48"/>
      <c r="E193" s="20" t="s">
        <v>35</v>
      </c>
      <c r="F193" s="35" t="s">
        <v>53</v>
      </c>
      <c r="G193" s="35" t="s">
        <v>54</v>
      </c>
      <c r="H193" s="35" t="s">
        <v>55</v>
      </c>
      <c r="I193" s="35" t="s">
        <v>56</v>
      </c>
      <c r="J193" s="35" t="s">
        <v>57</v>
      </c>
      <c r="K193" s="35" t="s">
        <v>58</v>
      </c>
      <c r="L193" s="35" t="s">
        <v>7</v>
      </c>
      <c r="M193" s="35" t="s">
        <v>8</v>
      </c>
      <c r="N193" s="12" t="s">
        <v>59</v>
      </c>
    </row>
    <row x14ac:dyDescent="0.25" r="194" customHeight="1" ht="30">
      <c r="A194" s="1"/>
      <c r="B194" s="13">
        <v>16</v>
      </c>
      <c r="C194" s="36"/>
      <c r="D194" s="36"/>
      <c r="E194" s="37" t="s">
        <v>36</v>
      </c>
      <c r="F194" s="38">
        <f>SUM(F195:F207)</f>
      </c>
      <c r="G194" s="38">
        <f>SUM(G195:G207)</f>
      </c>
      <c r="H194" s="38">
        <f>SUM(H195:H207)</f>
      </c>
      <c r="I194" s="38">
        <f>SUM(I195:I207)</f>
      </c>
      <c r="J194" s="38">
        <f>SUM(J195:J207)</f>
      </c>
      <c r="K194" s="38">
        <f>SUM(K195:K207)</f>
      </c>
      <c r="L194" s="38">
        <f>SUM(L195:L207)</f>
      </c>
      <c r="M194" s="38">
        <f>SUM(M195:M207)</f>
      </c>
      <c r="N194" s="39">
        <f>K194/I194</f>
      </c>
    </row>
    <row x14ac:dyDescent="0.25" r="195" customHeight="1" ht="17.25">
      <c r="A195" s="1"/>
      <c r="B195" s="13"/>
      <c r="C195" s="40">
        <v>161</v>
      </c>
      <c r="D195" s="36"/>
      <c r="E195" s="37" t="s">
        <v>208</v>
      </c>
      <c r="F195" s="38"/>
      <c r="G195" s="38"/>
      <c r="H195" s="38"/>
      <c r="I195" s="38"/>
      <c r="J195" s="38"/>
      <c r="K195" s="38"/>
      <c r="L195" s="38"/>
      <c r="M195" s="38"/>
      <c r="N195" s="38"/>
    </row>
    <row x14ac:dyDescent="0.25" r="196" customHeight="1" ht="17.25">
      <c r="A196" s="1"/>
      <c r="B196" s="13"/>
      <c r="C196" s="36"/>
      <c r="D196" s="42">
        <v>1611</v>
      </c>
      <c r="E196" s="14" t="s">
        <v>209</v>
      </c>
      <c r="F196" s="43"/>
      <c r="G196" s="43"/>
      <c r="H196" s="43"/>
      <c r="I196" s="43"/>
      <c r="J196" s="43"/>
      <c r="K196" s="43"/>
      <c r="L196" s="43"/>
      <c r="M196" s="43">
        <f>K196-L196</f>
      </c>
      <c r="N196" s="44">
        <f>K196/I196</f>
      </c>
    </row>
    <row x14ac:dyDescent="0.25" r="197" customHeight="1" ht="17.25">
      <c r="A197" s="1"/>
      <c r="B197" s="13"/>
      <c r="C197" s="36"/>
      <c r="D197" s="42">
        <v>1612</v>
      </c>
      <c r="E197" s="14" t="s">
        <v>210</v>
      </c>
      <c r="F197" s="43"/>
      <c r="G197" s="43"/>
      <c r="H197" s="43"/>
      <c r="I197" s="43"/>
      <c r="J197" s="43"/>
      <c r="K197" s="43"/>
      <c r="L197" s="43"/>
      <c r="M197" s="43">
        <f>K197-L197</f>
      </c>
      <c r="N197" s="44">
        <f>K197/I197</f>
      </c>
    </row>
    <row x14ac:dyDescent="0.25" r="198" customHeight="1" ht="17.25">
      <c r="A198" s="1"/>
      <c r="B198" s="13"/>
      <c r="C198" s="40">
        <v>162</v>
      </c>
      <c r="D198" s="36"/>
      <c r="E198" s="37" t="s">
        <v>211</v>
      </c>
      <c r="F198" s="38"/>
      <c r="G198" s="38"/>
      <c r="H198" s="38"/>
      <c r="I198" s="38"/>
      <c r="J198" s="38"/>
      <c r="K198" s="38"/>
      <c r="L198" s="38"/>
      <c r="M198" s="38"/>
      <c r="N198" s="38"/>
    </row>
    <row x14ac:dyDescent="0.25" r="199" customHeight="1" ht="17.25">
      <c r="A199" s="1"/>
      <c r="B199" s="13"/>
      <c r="C199" s="36"/>
      <c r="D199" s="42">
        <v>1621</v>
      </c>
      <c r="E199" s="14" t="s">
        <v>209</v>
      </c>
      <c r="F199" s="43"/>
      <c r="G199" s="43"/>
      <c r="H199" s="43"/>
      <c r="I199" s="43"/>
      <c r="J199" s="43"/>
      <c r="K199" s="43"/>
      <c r="L199" s="43"/>
      <c r="M199" s="43">
        <f>K199-L199</f>
      </c>
      <c r="N199" s="44">
        <f>K199/I199</f>
      </c>
    </row>
    <row x14ac:dyDescent="0.25" r="200" customHeight="1" ht="17.25">
      <c r="A200" s="1"/>
      <c r="B200" s="13"/>
      <c r="C200" s="36"/>
      <c r="D200" s="42">
        <v>1622</v>
      </c>
      <c r="E200" s="14" t="s">
        <v>210</v>
      </c>
      <c r="F200" s="43"/>
      <c r="G200" s="43"/>
      <c r="H200" s="43"/>
      <c r="I200" s="43"/>
      <c r="J200" s="43"/>
      <c r="K200" s="43"/>
      <c r="L200" s="43"/>
      <c r="M200" s="43">
        <f>K200-L200</f>
      </c>
      <c r="N200" s="44">
        <f>K200/I200</f>
      </c>
    </row>
    <row x14ac:dyDescent="0.25" r="201" customHeight="1" ht="17.25">
      <c r="A201" s="1"/>
      <c r="B201" s="13"/>
      <c r="C201" s="40">
        <v>165</v>
      </c>
      <c r="D201" s="36"/>
      <c r="E201" s="37" t="s">
        <v>212</v>
      </c>
      <c r="F201" s="38"/>
      <c r="G201" s="38"/>
      <c r="H201" s="38"/>
      <c r="I201" s="38"/>
      <c r="J201" s="38"/>
      <c r="K201" s="38"/>
      <c r="L201" s="38"/>
      <c r="M201" s="38"/>
      <c r="N201" s="38"/>
    </row>
    <row x14ac:dyDescent="0.25" r="202" customHeight="1" ht="17.25">
      <c r="A202" s="1"/>
      <c r="B202" s="13"/>
      <c r="C202" s="36"/>
      <c r="D202" s="42">
        <v>1650</v>
      </c>
      <c r="E202" s="14" t="s">
        <v>212</v>
      </c>
      <c r="F202" s="43"/>
      <c r="G202" s="43"/>
      <c r="H202" s="43"/>
      <c r="I202" s="43"/>
      <c r="J202" s="43"/>
      <c r="K202" s="43"/>
      <c r="L202" s="43"/>
      <c r="M202" s="43">
        <f>K202-L202</f>
      </c>
      <c r="N202" s="44">
        <f>K202/I202</f>
      </c>
    </row>
    <row x14ac:dyDescent="0.25" r="203" customHeight="1" ht="17.25">
      <c r="A203" s="1"/>
      <c r="B203" s="13"/>
      <c r="C203" s="40">
        <v>167</v>
      </c>
      <c r="D203" s="36"/>
      <c r="E203" s="37" t="s">
        <v>213</v>
      </c>
      <c r="F203" s="38"/>
      <c r="G203" s="38"/>
      <c r="H203" s="38"/>
      <c r="I203" s="38"/>
      <c r="J203" s="38"/>
      <c r="K203" s="38"/>
      <c r="L203" s="38"/>
      <c r="M203" s="38"/>
      <c r="N203" s="38"/>
    </row>
    <row x14ac:dyDescent="0.25" r="204" customHeight="1" ht="17.25">
      <c r="A204" s="1"/>
      <c r="B204" s="13"/>
      <c r="C204" s="36"/>
      <c r="D204" s="42">
        <v>1670</v>
      </c>
      <c r="E204" s="14" t="s">
        <v>213</v>
      </c>
      <c r="F204" s="43"/>
      <c r="G204" s="43"/>
      <c r="H204" s="43"/>
      <c r="I204" s="43"/>
      <c r="J204" s="43"/>
      <c r="K204" s="43"/>
      <c r="L204" s="43"/>
      <c r="M204" s="43">
        <f>K204-L204</f>
      </c>
      <c r="N204" s="44">
        <f>K204/I204</f>
      </c>
    </row>
    <row x14ac:dyDescent="0.25" r="205" customHeight="1" ht="17.25">
      <c r="A205" s="1"/>
      <c r="B205" s="13"/>
      <c r="C205" s="40">
        <v>168</v>
      </c>
      <c r="D205" s="36"/>
      <c r="E205" s="37" t="s">
        <v>214</v>
      </c>
      <c r="F205" s="38"/>
      <c r="G205" s="38"/>
      <c r="H205" s="38"/>
      <c r="I205" s="38"/>
      <c r="J205" s="38"/>
      <c r="K205" s="38"/>
      <c r="L205" s="38"/>
      <c r="M205" s="38"/>
      <c r="N205" s="38"/>
    </row>
    <row x14ac:dyDescent="0.25" r="206" customHeight="1" ht="17.25">
      <c r="A206" s="1"/>
      <c r="B206" s="13"/>
      <c r="C206" s="36"/>
      <c r="D206" s="42">
        <v>1680</v>
      </c>
      <c r="E206" s="14" t="s">
        <v>214</v>
      </c>
      <c r="F206" s="43"/>
      <c r="G206" s="43"/>
      <c r="H206" s="43"/>
      <c r="I206" s="43"/>
      <c r="J206" s="43"/>
      <c r="K206" s="43"/>
      <c r="L206" s="43"/>
      <c r="M206" s="43">
        <f>K206-L206</f>
      </c>
      <c r="N206" s="44">
        <f>K206/I206</f>
      </c>
    </row>
    <row x14ac:dyDescent="0.25" r="207" customHeight="1" ht="17.25">
      <c r="A207" s="1"/>
      <c r="B207" s="13"/>
      <c r="C207" s="36"/>
      <c r="D207" s="42">
        <v>1688</v>
      </c>
      <c r="E207" s="14" t="s">
        <v>215</v>
      </c>
      <c r="F207" s="43"/>
      <c r="G207" s="43"/>
      <c r="H207" s="43"/>
      <c r="I207" s="43"/>
      <c r="J207" s="43"/>
      <c r="K207" s="43"/>
      <c r="L207" s="43"/>
      <c r="M207" s="43">
        <f>K207-L207</f>
      </c>
      <c r="N207" s="44">
        <f>K207/I207</f>
      </c>
    </row>
    <row x14ac:dyDescent="0.25" r="208" customHeight="1" ht="30">
      <c r="A208" s="1"/>
      <c r="B208" s="13">
        <v>20</v>
      </c>
      <c r="C208" s="36"/>
      <c r="D208" s="36"/>
      <c r="E208" s="37" t="s">
        <v>38</v>
      </c>
      <c r="F208" s="38">
        <f>SUM(F209:F222)</f>
      </c>
      <c r="G208" s="38">
        <f>SUM(G209:G222)</f>
      </c>
      <c r="H208" s="38">
        <f>SUM(H209:H222)</f>
      </c>
      <c r="I208" s="38">
        <f>SUM(I209:I222)</f>
      </c>
      <c r="J208" s="38">
        <f>SUM(J209:J222)</f>
      </c>
      <c r="K208" s="38">
        <f>SUM(K209:K222)</f>
      </c>
      <c r="L208" s="38">
        <f>SUM(L209:L222)</f>
      </c>
      <c r="M208" s="38">
        <f>SUM(M209:M222)</f>
      </c>
      <c r="N208" s="39">
        <f>K208/I208</f>
      </c>
    </row>
    <row x14ac:dyDescent="0.25" r="209" customHeight="1" ht="17.25">
      <c r="A209" s="1"/>
      <c r="B209" s="13"/>
      <c r="C209" s="40">
        <v>201</v>
      </c>
      <c r="D209" s="36"/>
      <c r="E209" s="37" t="s">
        <v>216</v>
      </c>
      <c r="F209" s="38"/>
      <c r="G209" s="38"/>
      <c r="H209" s="38"/>
      <c r="I209" s="38"/>
      <c r="J209" s="38"/>
      <c r="K209" s="38"/>
      <c r="L209" s="38"/>
      <c r="M209" s="38"/>
      <c r="N209" s="38"/>
    </row>
    <row x14ac:dyDescent="0.25" r="210" customHeight="1" ht="17.25">
      <c r="A210" s="1"/>
      <c r="B210" s="13"/>
      <c r="C210" s="36"/>
      <c r="D210" s="42">
        <v>2011</v>
      </c>
      <c r="E210" s="14" t="s">
        <v>217</v>
      </c>
      <c r="F210" s="43"/>
      <c r="G210" s="43"/>
      <c r="H210" s="43"/>
      <c r="I210" s="43"/>
      <c r="J210" s="43"/>
      <c r="K210" s="43"/>
      <c r="L210" s="43"/>
      <c r="M210" s="43">
        <f>K210-L210</f>
      </c>
      <c r="N210" s="44">
        <f>K210/I210</f>
      </c>
    </row>
    <row x14ac:dyDescent="0.25" r="211" customHeight="1" ht="17.25">
      <c r="A211" s="1"/>
      <c r="B211" s="13"/>
      <c r="C211" s="36"/>
      <c r="D211" s="42">
        <v>2012</v>
      </c>
      <c r="E211" s="14" t="s">
        <v>218</v>
      </c>
      <c r="F211" s="43"/>
      <c r="G211" s="43"/>
      <c r="H211" s="43"/>
      <c r="I211" s="43"/>
      <c r="J211" s="43"/>
      <c r="K211" s="43"/>
      <c r="L211" s="43"/>
      <c r="M211" s="43">
        <f>K211-L211</f>
      </c>
      <c r="N211" s="44">
        <f>K211/I211</f>
      </c>
    </row>
    <row x14ac:dyDescent="0.25" r="212" customHeight="1" ht="17.25">
      <c r="A212" s="1"/>
      <c r="B212" s="13"/>
      <c r="C212" s="36"/>
      <c r="D212" s="42">
        <v>2013</v>
      </c>
      <c r="E212" s="14" t="s">
        <v>219</v>
      </c>
      <c r="F212" s="43"/>
      <c r="G212" s="43"/>
      <c r="H212" s="43"/>
      <c r="I212" s="43"/>
      <c r="J212" s="43"/>
      <c r="K212" s="43"/>
      <c r="L212" s="43"/>
      <c r="M212" s="43">
        <f>K212-L212</f>
      </c>
      <c r="N212" s="44">
        <f>K212/I212</f>
      </c>
    </row>
    <row x14ac:dyDescent="0.25" r="213" customHeight="1" ht="17.25">
      <c r="A213" s="1"/>
      <c r="B213" s="13"/>
      <c r="C213" s="36"/>
      <c r="D213" s="42">
        <v>2014</v>
      </c>
      <c r="E213" s="14" t="s">
        <v>220</v>
      </c>
      <c r="F213" s="43"/>
      <c r="G213" s="43"/>
      <c r="H213" s="43"/>
      <c r="I213" s="43"/>
      <c r="J213" s="43"/>
      <c r="K213" s="43"/>
      <c r="L213" s="43"/>
      <c r="M213" s="43">
        <f>K213-L213</f>
      </c>
      <c r="N213" s="44">
        <f>K213/I213</f>
      </c>
    </row>
    <row x14ac:dyDescent="0.25" r="214" customHeight="1" ht="17.25">
      <c r="A214" s="1"/>
      <c r="B214" s="13"/>
      <c r="C214" s="36"/>
      <c r="D214" s="42">
        <v>2015</v>
      </c>
      <c r="E214" s="14" t="s">
        <v>221</v>
      </c>
      <c r="F214" s="43"/>
      <c r="G214" s="43"/>
      <c r="H214" s="43"/>
      <c r="I214" s="43"/>
      <c r="J214" s="43"/>
      <c r="K214" s="43"/>
      <c r="L214" s="43"/>
      <c r="M214" s="43">
        <f>K214-L214</f>
      </c>
      <c r="N214" s="44">
        <f>K214/I214</f>
      </c>
    </row>
    <row x14ac:dyDescent="0.25" r="215" customHeight="1" ht="17.25">
      <c r="A215" s="1"/>
      <c r="B215" s="13"/>
      <c r="C215" s="36"/>
      <c r="D215" s="42">
        <v>2016</v>
      </c>
      <c r="E215" s="14" t="s">
        <v>222</v>
      </c>
      <c r="F215" s="43"/>
      <c r="G215" s="43"/>
      <c r="H215" s="43"/>
      <c r="I215" s="43"/>
      <c r="J215" s="43"/>
      <c r="K215" s="43"/>
      <c r="L215" s="43"/>
      <c r="M215" s="43">
        <f>K215-L215</f>
      </c>
      <c r="N215" s="44">
        <f>K215/I215</f>
      </c>
    </row>
    <row x14ac:dyDescent="0.25" r="216" customHeight="1" ht="17.25">
      <c r="A216" s="1"/>
      <c r="B216" s="13"/>
      <c r="C216" s="36"/>
      <c r="D216" s="42">
        <v>2017</v>
      </c>
      <c r="E216" s="14" t="s">
        <v>223</v>
      </c>
      <c r="F216" s="43"/>
      <c r="G216" s="43"/>
      <c r="H216" s="43"/>
      <c r="I216" s="43"/>
      <c r="J216" s="43"/>
      <c r="K216" s="43"/>
      <c r="L216" s="43"/>
      <c r="M216" s="43">
        <f>K216-L216</f>
      </c>
      <c r="N216" s="44">
        <f>K216/I216</f>
      </c>
    </row>
    <row x14ac:dyDescent="0.25" r="217" customHeight="1" ht="17.25">
      <c r="A217" s="1"/>
      <c r="B217" s="13"/>
      <c r="C217" s="36"/>
      <c r="D217" s="42">
        <v>2018</v>
      </c>
      <c r="E217" s="14" t="s">
        <v>136</v>
      </c>
      <c r="F217" s="43"/>
      <c r="G217" s="43"/>
      <c r="H217" s="43"/>
      <c r="I217" s="43"/>
      <c r="J217" s="43"/>
      <c r="K217" s="43"/>
      <c r="L217" s="43"/>
      <c r="M217" s="43">
        <f>K217-L217</f>
      </c>
      <c r="N217" s="44">
        <f>K217/I217</f>
      </c>
    </row>
    <row x14ac:dyDescent="0.25" r="218" customHeight="1" ht="17.25">
      <c r="A218" s="1"/>
      <c r="B218" s="13"/>
      <c r="C218" s="40">
        <v>205</v>
      </c>
      <c r="D218" s="36"/>
      <c r="E218" s="37" t="s">
        <v>224</v>
      </c>
      <c r="F218" s="38"/>
      <c r="G218" s="38"/>
      <c r="H218" s="38"/>
      <c r="I218" s="38"/>
      <c r="J218" s="38"/>
      <c r="K218" s="38"/>
      <c r="L218" s="38"/>
      <c r="M218" s="38"/>
      <c r="N218" s="38"/>
    </row>
    <row x14ac:dyDescent="0.25" r="219" customHeight="1" ht="17.25">
      <c r="A219" s="1"/>
      <c r="B219" s="13"/>
      <c r="C219" s="36"/>
      <c r="D219" s="42">
        <v>2051</v>
      </c>
      <c r="E219" s="14" t="s">
        <v>225</v>
      </c>
      <c r="F219" s="43"/>
      <c r="G219" s="43"/>
      <c r="H219" s="43"/>
      <c r="I219" s="43"/>
      <c r="J219" s="43"/>
      <c r="K219" s="43"/>
      <c r="L219" s="43"/>
      <c r="M219" s="43">
        <f>K219-L219</f>
      </c>
      <c r="N219" s="44">
        <f>K219/I219</f>
      </c>
    </row>
    <row x14ac:dyDescent="0.25" r="220" customHeight="1" ht="17.25">
      <c r="A220" s="1"/>
      <c r="B220" s="13"/>
      <c r="C220" s="36"/>
      <c r="D220" s="42">
        <v>2052</v>
      </c>
      <c r="E220" s="14" t="s">
        <v>226</v>
      </c>
      <c r="F220" s="43"/>
      <c r="G220" s="43"/>
      <c r="H220" s="43"/>
      <c r="I220" s="43"/>
      <c r="J220" s="43"/>
      <c r="K220" s="43"/>
      <c r="L220" s="43"/>
      <c r="M220" s="43">
        <f>K220-L220</f>
      </c>
      <c r="N220" s="44">
        <f>K220/I220</f>
      </c>
    </row>
    <row x14ac:dyDescent="0.25" r="221" customHeight="1" ht="17.25">
      <c r="A221" s="1"/>
      <c r="B221" s="13"/>
      <c r="C221" s="40">
        <v>208</v>
      </c>
      <c r="D221" s="36"/>
      <c r="E221" s="37" t="s">
        <v>227</v>
      </c>
      <c r="F221" s="38"/>
      <c r="G221" s="38"/>
      <c r="H221" s="38"/>
      <c r="I221" s="38"/>
      <c r="J221" s="38"/>
      <c r="K221" s="38"/>
      <c r="L221" s="38"/>
      <c r="M221" s="38"/>
      <c r="N221" s="38"/>
    </row>
    <row x14ac:dyDescent="0.25" r="222" customHeight="1" ht="17.25">
      <c r="A222" s="1"/>
      <c r="B222" s="13"/>
      <c r="C222" s="36"/>
      <c r="D222" s="42">
        <v>2080</v>
      </c>
      <c r="E222" s="14" t="s">
        <v>227</v>
      </c>
      <c r="F222" s="43"/>
      <c r="G222" s="43"/>
      <c r="H222" s="43"/>
      <c r="I222" s="43"/>
      <c r="J222" s="43"/>
      <c r="K222" s="43"/>
      <c r="L222" s="43"/>
      <c r="M222" s="43">
        <f>K222-L222</f>
      </c>
      <c r="N222" s="44">
        <f>K222/I222</f>
      </c>
    </row>
    <row x14ac:dyDescent="0.25" r="223" customHeight="1" ht="30">
      <c r="A223" s="1"/>
      <c r="B223" s="13">
        <v>21</v>
      </c>
      <c r="C223" s="36"/>
      <c r="D223" s="36"/>
      <c r="E223" s="37" t="s">
        <v>40</v>
      </c>
      <c r="F223" s="38">
        <f>SUM(F224:F284)</f>
      </c>
      <c r="G223" s="38">
        <f>SUM(G224:G284)</f>
      </c>
      <c r="H223" s="38">
        <f>SUM(H224:H284)</f>
      </c>
      <c r="I223" s="38">
        <f>SUM(I224:I284)</f>
      </c>
      <c r="J223" s="38">
        <f>SUM(J224:J284)</f>
      </c>
      <c r="K223" s="38">
        <f>SUM(K224:K284)</f>
      </c>
      <c r="L223" s="38">
        <f>SUM(L224:L284)</f>
      </c>
      <c r="M223" s="38">
        <f>SUM(M224:M284)</f>
      </c>
      <c r="N223" s="39">
        <f>K223/I223</f>
      </c>
    </row>
    <row x14ac:dyDescent="0.25" r="224" customHeight="1" ht="17.25">
      <c r="A224" s="1"/>
      <c r="B224" s="13"/>
      <c r="C224" s="40">
        <v>211</v>
      </c>
      <c r="D224" s="36"/>
      <c r="E224" s="37" t="s">
        <v>228</v>
      </c>
      <c r="F224" s="38"/>
      <c r="G224" s="38"/>
      <c r="H224" s="38"/>
      <c r="I224" s="38"/>
      <c r="J224" s="38"/>
      <c r="K224" s="38"/>
      <c r="L224" s="38"/>
      <c r="M224" s="38"/>
      <c r="N224" s="38"/>
    </row>
    <row x14ac:dyDescent="0.25" r="225" customHeight="1" ht="17.25">
      <c r="A225" s="1"/>
      <c r="B225" s="13"/>
      <c r="C225" s="36"/>
      <c r="D225" s="42">
        <v>2111</v>
      </c>
      <c r="E225" s="14" t="s">
        <v>229</v>
      </c>
      <c r="F225" s="43"/>
      <c r="G225" s="43"/>
      <c r="H225" s="43"/>
      <c r="I225" s="43"/>
      <c r="J225" s="43"/>
      <c r="K225" s="43"/>
      <c r="L225" s="43"/>
      <c r="M225" s="43">
        <f>K225-L225</f>
      </c>
      <c r="N225" s="44">
        <f>K225/I225</f>
      </c>
    </row>
    <row x14ac:dyDescent="0.25" r="226" customHeight="1" ht="17.25">
      <c r="A226" s="1"/>
      <c r="B226" s="13"/>
      <c r="C226" s="36"/>
      <c r="D226" s="42">
        <v>2112</v>
      </c>
      <c r="E226" s="14" t="s">
        <v>230</v>
      </c>
      <c r="F226" s="43"/>
      <c r="G226" s="43"/>
      <c r="H226" s="43"/>
      <c r="I226" s="43"/>
      <c r="J226" s="43"/>
      <c r="K226" s="43"/>
      <c r="L226" s="43"/>
      <c r="M226" s="43">
        <f>K226-L226</f>
      </c>
      <c r="N226" s="44">
        <f>K226/I226</f>
      </c>
    </row>
    <row x14ac:dyDescent="0.25" r="227" customHeight="1" ht="17.25">
      <c r="A227" s="1"/>
      <c r="B227" s="13"/>
      <c r="C227" s="36"/>
      <c r="D227" s="42">
        <v>2113</v>
      </c>
      <c r="E227" s="14" t="s">
        <v>231</v>
      </c>
      <c r="F227" s="43"/>
      <c r="G227" s="43"/>
      <c r="H227" s="43"/>
      <c r="I227" s="43"/>
      <c r="J227" s="43"/>
      <c r="K227" s="43"/>
      <c r="L227" s="43"/>
      <c r="M227" s="43">
        <f>K227-L227</f>
      </c>
      <c r="N227" s="44">
        <f>K227/I227</f>
      </c>
    </row>
    <row x14ac:dyDescent="0.25" r="228" customHeight="1" ht="17.25">
      <c r="A228" s="1"/>
      <c r="B228" s="13"/>
      <c r="C228" s="36"/>
      <c r="D228" s="42">
        <v>2114</v>
      </c>
      <c r="E228" s="14" t="s">
        <v>232</v>
      </c>
      <c r="F228" s="43"/>
      <c r="G228" s="43"/>
      <c r="H228" s="43"/>
      <c r="I228" s="43"/>
      <c r="J228" s="43"/>
      <c r="K228" s="43"/>
      <c r="L228" s="43"/>
      <c r="M228" s="43">
        <f>K228-L228</f>
      </c>
      <c r="N228" s="44">
        <f>K228/I228</f>
      </c>
    </row>
    <row x14ac:dyDescent="0.25" r="229" customHeight="1" ht="17.25">
      <c r="A229" s="1"/>
      <c r="B229" s="13"/>
      <c r="C229" s="36"/>
      <c r="D229" s="42">
        <v>2115</v>
      </c>
      <c r="E229" s="14" t="s">
        <v>233</v>
      </c>
      <c r="F229" s="43"/>
      <c r="G229" s="43"/>
      <c r="H229" s="43"/>
      <c r="I229" s="43"/>
      <c r="J229" s="43"/>
      <c r="K229" s="43"/>
      <c r="L229" s="43"/>
      <c r="M229" s="43">
        <f>K229-L229</f>
      </c>
      <c r="N229" s="44">
        <f>K229/I229</f>
      </c>
    </row>
    <row x14ac:dyDescent="0.25" r="230" customHeight="1" ht="17.25">
      <c r="A230" s="1"/>
      <c r="B230" s="13"/>
      <c r="C230" s="36"/>
      <c r="D230" s="42">
        <v>2116</v>
      </c>
      <c r="E230" s="14" t="s">
        <v>234</v>
      </c>
      <c r="F230" s="43"/>
      <c r="G230" s="43"/>
      <c r="H230" s="43"/>
      <c r="I230" s="43"/>
      <c r="J230" s="43"/>
      <c r="K230" s="43"/>
      <c r="L230" s="43"/>
      <c r="M230" s="43">
        <f>K230-L230</f>
      </c>
      <c r="N230" s="44">
        <f>K230/I230</f>
      </c>
    </row>
    <row x14ac:dyDescent="0.25" r="231" customHeight="1" ht="17.25">
      <c r="A231" s="1"/>
      <c r="B231" s="13"/>
      <c r="C231" s="36"/>
      <c r="D231" s="42">
        <v>2117</v>
      </c>
      <c r="E231" s="14" t="s">
        <v>235</v>
      </c>
      <c r="F231" s="43"/>
      <c r="G231" s="43"/>
      <c r="H231" s="43"/>
      <c r="I231" s="43"/>
      <c r="J231" s="43"/>
      <c r="K231" s="43"/>
      <c r="L231" s="43"/>
      <c r="M231" s="43">
        <f>K231-L231</f>
      </c>
      <c r="N231" s="44">
        <f>K231/I231</f>
      </c>
    </row>
    <row x14ac:dyDescent="0.25" r="232" customHeight="1" ht="17.25">
      <c r="A232" s="1"/>
      <c r="B232" s="13"/>
      <c r="C232" s="36"/>
      <c r="D232" s="42">
        <v>2118</v>
      </c>
      <c r="E232" s="14" t="s">
        <v>136</v>
      </c>
      <c r="F232" s="43"/>
      <c r="G232" s="43"/>
      <c r="H232" s="43"/>
      <c r="I232" s="43"/>
      <c r="J232" s="43"/>
      <c r="K232" s="43"/>
      <c r="L232" s="43"/>
      <c r="M232" s="43">
        <f>K232-L232</f>
      </c>
      <c r="N232" s="44">
        <f>K232/I232</f>
      </c>
    </row>
    <row x14ac:dyDescent="0.25" r="233" customHeight="1" ht="17.25">
      <c r="A233" s="1"/>
      <c r="B233" s="13"/>
      <c r="C233" s="40">
        <v>212</v>
      </c>
      <c r="D233" s="36"/>
      <c r="E233" s="37" t="s">
        <v>236</v>
      </c>
      <c r="F233" s="38"/>
      <c r="G233" s="38"/>
      <c r="H233" s="38"/>
      <c r="I233" s="38"/>
      <c r="J233" s="38"/>
      <c r="K233" s="38"/>
      <c r="L233" s="38"/>
      <c r="M233" s="38"/>
      <c r="N233" s="38"/>
    </row>
    <row x14ac:dyDescent="0.25" r="234" customHeight="1" ht="17.25">
      <c r="A234" s="1"/>
      <c r="B234" s="13"/>
      <c r="C234" s="36"/>
      <c r="D234" s="42">
        <v>2121</v>
      </c>
      <c r="E234" s="14" t="s">
        <v>237</v>
      </c>
      <c r="F234" s="43"/>
      <c r="G234" s="43"/>
      <c r="H234" s="43"/>
      <c r="I234" s="43"/>
      <c r="J234" s="43"/>
      <c r="K234" s="43"/>
      <c r="L234" s="43"/>
      <c r="M234" s="43">
        <f>K234-L234</f>
      </c>
      <c r="N234" s="44">
        <f>K234/I234</f>
      </c>
    </row>
    <row x14ac:dyDescent="0.25" r="235" customHeight="1" ht="17.25">
      <c r="A235" s="1"/>
      <c r="B235" s="13"/>
      <c r="C235" s="36"/>
      <c r="D235" s="42">
        <v>2122</v>
      </c>
      <c r="E235" s="14" t="s">
        <v>238</v>
      </c>
      <c r="F235" s="43"/>
      <c r="G235" s="43"/>
      <c r="H235" s="43"/>
      <c r="I235" s="43"/>
      <c r="J235" s="43"/>
      <c r="K235" s="43"/>
      <c r="L235" s="43"/>
      <c r="M235" s="43">
        <f>K235-L235</f>
      </c>
      <c r="N235" s="44">
        <f>K235/I235</f>
      </c>
    </row>
    <row x14ac:dyDescent="0.25" r="236" customHeight="1" ht="17.25">
      <c r="A236" s="1"/>
      <c r="B236" s="13"/>
      <c r="C236" s="36"/>
      <c r="D236" s="42">
        <v>2123</v>
      </c>
      <c r="E236" s="14" t="s">
        <v>239</v>
      </c>
      <c r="F236" s="43"/>
      <c r="G236" s="43"/>
      <c r="H236" s="43"/>
      <c r="I236" s="43"/>
      <c r="J236" s="43"/>
      <c r="K236" s="43"/>
      <c r="L236" s="43"/>
      <c r="M236" s="43">
        <f>K236-L236</f>
      </c>
      <c r="N236" s="44">
        <f>K236/I236</f>
      </c>
    </row>
    <row x14ac:dyDescent="0.25" r="237" customHeight="1" ht="17.25">
      <c r="A237" s="1"/>
      <c r="B237" s="13"/>
      <c r="C237" s="36"/>
      <c r="D237" s="42">
        <v>2124</v>
      </c>
      <c r="E237" s="14" t="s">
        <v>240</v>
      </c>
      <c r="F237" s="43"/>
      <c r="G237" s="43"/>
      <c r="H237" s="43"/>
      <c r="I237" s="43"/>
      <c r="J237" s="43"/>
      <c r="K237" s="43"/>
      <c r="L237" s="43"/>
      <c r="M237" s="43">
        <f>K237-L237</f>
      </c>
      <c r="N237" s="44">
        <f>K237/I237</f>
      </c>
    </row>
    <row x14ac:dyDescent="0.25" r="238" customHeight="1" ht="17.25">
      <c r="A238" s="1"/>
      <c r="B238" s="13"/>
      <c r="C238" s="36"/>
      <c r="D238" s="42">
        <v>2125</v>
      </c>
      <c r="E238" s="14" t="s">
        <v>241</v>
      </c>
      <c r="F238" s="43"/>
      <c r="G238" s="43"/>
      <c r="H238" s="43"/>
      <c r="I238" s="43"/>
      <c r="J238" s="43"/>
      <c r="K238" s="43"/>
      <c r="L238" s="43"/>
      <c r="M238" s="43">
        <f>K238-L238</f>
      </c>
      <c r="N238" s="44">
        <f>K238/I238</f>
      </c>
    </row>
    <row x14ac:dyDescent="0.25" r="239" customHeight="1" ht="17.25">
      <c r="A239" s="1"/>
      <c r="B239" s="13"/>
      <c r="C239" s="36"/>
      <c r="D239" s="42">
        <v>2128</v>
      </c>
      <c r="E239" s="14" t="s">
        <v>242</v>
      </c>
      <c r="F239" s="43"/>
      <c r="G239" s="43"/>
      <c r="H239" s="43"/>
      <c r="I239" s="43"/>
      <c r="J239" s="43"/>
      <c r="K239" s="43"/>
      <c r="L239" s="43"/>
      <c r="M239" s="43">
        <f>K239-L239</f>
      </c>
      <c r="N239" s="44">
        <f>K239/I239</f>
      </c>
    </row>
    <row x14ac:dyDescent="0.25" r="240" customHeight="1" ht="17.25">
      <c r="A240" s="1"/>
      <c r="B240" s="13"/>
      <c r="C240" s="40">
        <v>213</v>
      </c>
      <c r="D240" s="36"/>
      <c r="E240" s="37" t="s">
        <v>243</v>
      </c>
      <c r="F240" s="38"/>
      <c r="G240" s="38"/>
      <c r="H240" s="38"/>
      <c r="I240" s="38"/>
      <c r="J240" s="38"/>
      <c r="K240" s="38"/>
      <c r="L240" s="38"/>
      <c r="M240" s="38"/>
      <c r="N240" s="38"/>
    </row>
    <row x14ac:dyDescent="0.25" r="241" customHeight="1" ht="17.25">
      <c r="A241" s="1"/>
      <c r="B241" s="13"/>
      <c r="C241" s="36"/>
      <c r="D241" s="42">
        <v>2131</v>
      </c>
      <c r="E241" s="14" t="s">
        <v>244</v>
      </c>
      <c r="F241" s="43"/>
      <c r="G241" s="43"/>
      <c r="H241" s="43"/>
      <c r="I241" s="43"/>
      <c r="J241" s="43"/>
      <c r="K241" s="43"/>
      <c r="L241" s="43"/>
      <c r="M241" s="43">
        <f>K241-L241</f>
      </c>
      <c r="N241" s="44">
        <f>K241/I241</f>
      </c>
    </row>
    <row x14ac:dyDescent="0.25" r="242" customHeight="1" ht="17.25">
      <c r="A242" s="1"/>
      <c r="B242" s="13"/>
      <c r="C242" s="36"/>
      <c r="D242" s="42">
        <v>2132</v>
      </c>
      <c r="E242" s="14" t="s">
        <v>245</v>
      </c>
      <c r="F242" s="43"/>
      <c r="G242" s="43"/>
      <c r="H242" s="43"/>
      <c r="I242" s="43"/>
      <c r="J242" s="43"/>
      <c r="K242" s="43"/>
      <c r="L242" s="43"/>
      <c r="M242" s="43">
        <f>K242-L242</f>
      </c>
      <c r="N242" s="44">
        <f>K242/I242</f>
      </c>
    </row>
    <row x14ac:dyDescent="0.25" r="243" customHeight="1" ht="17.25">
      <c r="A243" s="1"/>
      <c r="B243" s="13"/>
      <c r="C243" s="36"/>
      <c r="D243" s="42">
        <v>2133</v>
      </c>
      <c r="E243" s="14" t="s">
        <v>246</v>
      </c>
      <c r="F243" s="43"/>
      <c r="G243" s="43"/>
      <c r="H243" s="43"/>
      <c r="I243" s="43"/>
      <c r="J243" s="43"/>
      <c r="K243" s="43"/>
      <c r="L243" s="43"/>
      <c r="M243" s="43">
        <f>K243-L243</f>
      </c>
      <c r="N243" s="44">
        <f>K243/I243</f>
      </c>
    </row>
    <row x14ac:dyDescent="0.25" r="244" customHeight="1" ht="17.25">
      <c r="A244" s="1"/>
      <c r="B244" s="13"/>
      <c r="C244" s="36"/>
      <c r="D244" s="42">
        <v>2134</v>
      </c>
      <c r="E244" s="14" t="s">
        <v>247</v>
      </c>
      <c r="F244" s="43"/>
      <c r="G244" s="43"/>
      <c r="H244" s="43"/>
      <c r="I244" s="43"/>
      <c r="J244" s="43"/>
      <c r="K244" s="43"/>
      <c r="L244" s="43"/>
      <c r="M244" s="43">
        <f>K244-L244</f>
      </c>
      <c r="N244" s="44">
        <f>K244/I244</f>
      </c>
    </row>
    <row x14ac:dyDescent="0.25" r="245" customHeight="1" ht="17.25">
      <c r="A245" s="1"/>
      <c r="B245" s="13"/>
      <c r="C245" s="36"/>
      <c r="D245" s="42">
        <v>2137</v>
      </c>
      <c r="E245" s="14" t="s">
        <v>248</v>
      </c>
      <c r="F245" s="43"/>
      <c r="G245" s="43"/>
      <c r="H245" s="43"/>
      <c r="I245" s="43"/>
      <c r="J245" s="43"/>
      <c r="K245" s="43"/>
      <c r="L245" s="43"/>
      <c r="M245" s="43">
        <f>K245-L245</f>
      </c>
      <c r="N245" s="44">
        <f>K245/I245</f>
      </c>
    </row>
    <row x14ac:dyDescent="0.25" r="246" customHeight="1" ht="17.25">
      <c r="A246" s="1"/>
      <c r="B246" s="13"/>
      <c r="C246" s="36"/>
      <c r="D246" s="42">
        <v>2138</v>
      </c>
      <c r="E246" s="14" t="s">
        <v>249</v>
      </c>
      <c r="F246" s="43"/>
      <c r="G246" s="43"/>
      <c r="H246" s="43"/>
      <c r="I246" s="43"/>
      <c r="J246" s="43"/>
      <c r="K246" s="43"/>
      <c r="L246" s="43"/>
      <c r="M246" s="43">
        <f>K246-L246</f>
      </c>
      <c r="N246" s="44">
        <f>K246/I246</f>
      </c>
    </row>
    <row x14ac:dyDescent="0.25" r="247" customHeight="1" ht="17.25">
      <c r="A247" s="1"/>
      <c r="B247" s="13"/>
      <c r="C247" s="40">
        <v>214</v>
      </c>
      <c r="D247" s="36"/>
      <c r="E247" s="37" t="s">
        <v>250</v>
      </c>
      <c r="F247" s="38"/>
      <c r="G247" s="38"/>
      <c r="H247" s="38"/>
      <c r="I247" s="38"/>
      <c r="J247" s="38"/>
      <c r="K247" s="38"/>
      <c r="L247" s="38"/>
      <c r="M247" s="38"/>
      <c r="N247" s="38"/>
    </row>
    <row x14ac:dyDescent="0.25" r="248" customHeight="1" ht="17.25">
      <c r="A248" s="1"/>
      <c r="B248" s="13"/>
      <c r="C248" s="36"/>
      <c r="D248" s="42">
        <v>2141</v>
      </c>
      <c r="E248" s="14" t="s">
        <v>251</v>
      </c>
      <c r="F248" s="43"/>
      <c r="G248" s="43"/>
      <c r="H248" s="43"/>
      <c r="I248" s="43"/>
      <c r="J248" s="43"/>
      <c r="K248" s="43"/>
      <c r="L248" s="43"/>
      <c r="M248" s="43">
        <f>K248-L248</f>
      </c>
      <c r="N248" s="44">
        <f>K248/I248</f>
      </c>
    </row>
    <row x14ac:dyDescent="0.25" r="249" customHeight="1" ht="17.25">
      <c r="A249" s="1"/>
      <c r="B249" s="13"/>
      <c r="C249" s="36"/>
      <c r="D249" s="42">
        <v>2142</v>
      </c>
      <c r="E249" s="14" t="s">
        <v>252</v>
      </c>
      <c r="F249" s="43"/>
      <c r="G249" s="43"/>
      <c r="H249" s="43"/>
      <c r="I249" s="43"/>
      <c r="J249" s="43"/>
      <c r="K249" s="43"/>
      <c r="L249" s="43"/>
      <c r="M249" s="43">
        <f>K249-L249</f>
      </c>
      <c r="N249" s="44">
        <f>K249/I249</f>
      </c>
    </row>
    <row x14ac:dyDescent="0.25" r="250" customHeight="1" ht="17.25">
      <c r="A250" s="1"/>
      <c r="B250" s="13"/>
      <c r="C250" s="36"/>
      <c r="D250" s="42">
        <v>2143</v>
      </c>
      <c r="E250" s="14" t="s">
        <v>253</v>
      </c>
      <c r="F250" s="43"/>
      <c r="G250" s="43"/>
      <c r="H250" s="43"/>
      <c r="I250" s="43"/>
      <c r="J250" s="43"/>
      <c r="K250" s="43"/>
      <c r="L250" s="43"/>
      <c r="M250" s="43">
        <f>K250-L250</f>
      </c>
      <c r="N250" s="44">
        <f>K250/I250</f>
      </c>
    </row>
    <row x14ac:dyDescent="0.25" r="251" customHeight="1" ht="17.25">
      <c r="A251" s="1"/>
      <c r="B251" s="13"/>
      <c r="C251" s="36"/>
      <c r="D251" s="42">
        <v>2144</v>
      </c>
      <c r="E251" s="14" t="s">
        <v>254</v>
      </c>
      <c r="F251" s="43"/>
      <c r="G251" s="43"/>
      <c r="H251" s="43"/>
      <c r="I251" s="43"/>
      <c r="J251" s="43"/>
      <c r="K251" s="43"/>
      <c r="L251" s="43"/>
      <c r="M251" s="43">
        <f>K251-L251</f>
      </c>
      <c r="N251" s="44">
        <f>K251/I251</f>
      </c>
    </row>
    <row x14ac:dyDescent="0.25" r="252" customHeight="1" ht="17.25">
      <c r="A252" s="1"/>
      <c r="B252" s="13"/>
      <c r="C252" s="36"/>
      <c r="D252" s="42">
        <v>2147</v>
      </c>
      <c r="E252" s="14" t="s">
        <v>255</v>
      </c>
      <c r="F252" s="43"/>
      <c r="G252" s="43"/>
      <c r="H252" s="43"/>
      <c r="I252" s="43"/>
      <c r="J252" s="43"/>
      <c r="K252" s="43"/>
      <c r="L252" s="43"/>
      <c r="M252" s="43">
        <f>K252-L252</f>
      </c>
      <c r="N252" s="44">
        <f>K252/I252</f>
      </c>
    </row>
    <row x14ac:dyDescent="0.25" r="253" customHeight="1" ht="17.25">
      <c r="A253" s="1"/>
      <c r="B253" s="13"/>
      <c r="C253" s="36"/>
      <c r="D253" s="42">
        <v>2148</v>
      </c>
      <c r="E253" s="14" t="s">
        <v>256</v>
      </c>
      <c r="F253" s="43"/>
      <c r="G253" s="43"/>
      <c r="H253" s="43"/>
      <c r="I253" s="43"/>
      <c r="J253" s="43"/>
      <c r="K253" s="43"/>
      <c r="L253" s="43"/>
      <c r="M253" s="43">
        <f>K253-L253</f>
      </c>
      <c r="N253" s="44">
        <f>K253/I253</f>
      </c>
    </row>
    <row x14ac:dyDescent="0.25" r="254" customHeight="1" ht="17.25">
      <c r="A254" s="1"/>
      <c r="B254" s="13"/>
      <c r="C254" s="40">
        <v>215</v>
      </c>
      <c r="D254" s="36"/>
      <c r="E254" s="37" t="s">
        <v>257</v>
      </c>
      <c r="F254" s="38"/>
      <c r="G254" s="38"/>
      <c r="H254" s="38"/>
      <c r="I254" s="38"/>
      <c r="J254" s="38"/>
      <c r="K254" s="38"/>
      <c r="L254" s="38"/>
      <c r="M254" s="38"/>
      <c r="N254" s="38"/>
    </row>
    <row x14ac:dyDescent="0.25" r="255" customHeight="1" ht="17.25">
      <c r="A255" s="1"/>
      <c r="B255" s="13"/>
      <c r="C255" s="36"/>
      <c r="D255" s="42">
        <v>2151</v>
      </c>
      <c r="E255" s="14" t="s">
        <v>258</v>
      </c>
      <c r="F255" s="43"/>
      <c r="G255" s="43"/>
      <c r="H255" s="43"/>
      <c r="I255" s="43"/>
      <c r="J255" s="43"/>
      <c r="K255" s="43"/>
      <c r="L255" s="43"/>
      <c r="M255" s="43">
        <f>K255-L255</f>
      </c>
      <c r="N255" s="44">
        <f>K255/I255</f>
      </c>
    </row>
    <row x14ac:dyDescent="0.25" r="256" customHeight="1" ht="17.25">
      <c r="A256" s="1"/>
      <c r="B256" s="13"/>
      <c r="C256" s="36"/>
      <c r="D256" s="42">
        <v>2152</v>
      </c>
      <c r="E256" s="14" t="s">
        <v>259</v>
      </c>
      <c r="F256" s="43"/>
      <c r="G256" s="43"/>
      <c r="H256" s="43"/>
      <c r="I256" s="43"/>
      <c r="J256" s="43"/>
      <c r="K256" s="43"/>
      <c r="L256" s="43"/>
      <c r="M256" s="43">
        <f>K256-L256</f>
      </c>
      <c r="N256" s="44">
        <f>K256/I256</f>
      </c>
    </row>
    <row x14ac:dyDescent="0.25" r="257" customHeight="1" ht="17.25">
      <c r="A257" s="1"/>
      <c r="B257" s="13"/>
      <c r="C257" s="36"/>
      <c r="D257" s="42">
        <v>2153</v>
      </c>
      <c r="E257" s="14" t="s">
        <v>260</v>
      </c>
      <c r="F257" s="43"/>
      <c r="G257" s="43"/>
      <c r="H257" s="43"/>
      <c r="I257" s="43"/>
      <c r="J257" s="43"/>
      <c r="K257" s="43"/>
      <c r="L257" s="43"/>
      <c r="M257" s="43">
        <f>K257-L257</f>
      </c>
      <c r="N257" s="44">
        <f>K257/I257</f>
      </c>
    </row>
    <row x14ac:dyDescent="0.25" r="258" customHeight="1" ht="17.25">
      <c r="A258" s="1"/>
      <c r="B258" s="13"/>
      <c r="C258" s="36"/>
      <c r="D258" s="42">
        <v>2154</v>
      </c>
      <c r="E258" s="14" t="s">
        <v>261</v>
      </c>
      <c r="F258" s="43"/>
      <c r="G258" s="43"/>
      <c r="H258" s="43"/>
      <c r="I258" s="43"/>
      <c r="J258" s="43"/>
      <c r="K258" s="43"/>
      <c r="L258" s="43"/>
      <c r="M258" s="43">
        <f>K258-L258</f>
      </c>
      <c r="N258" s="44">
        <f>K258/I258</f>
      </c>
    </row>
    <row x14ac:dyDescent="0.25" r="259" customHeight="1" ht="17.25">
      <c r="A259" s="1"/>
      <c r="B259" s="13"/>
      <c r="C259" s="36"/>
      <c r="D259" s="42">
        <v>2155</v>
      </c>
      <c r="E259" s="14" t="s">
        <v>262</v>
      </c>
      <c r="F259" s="43"/>
      <c r="G259" s="43"/>
      <c r="H259" s="43"/>
      <c r="I259" s="43"/>
      <c r="J259" s="43"/>
      <c r="K259" s="43"/>
      <c r="L259" s="43"/>
      <c r="M259" s="43">
        <f>K259-L259</f>
      </c>
      <c r="N259" s="44">
        <f>K259/I259</f>
      </c>
    </row>
    <row x14ac:dyDescent="0.25" r="260" customHeight="1" ht="17.25">
      <c r="A260" s="1"/>
      <c r="B260" s="13"/>
      <c r="C260" s="36"/>
      <c r="D260" s="42">
        <v>2156</v>
      </c>
      <c r="E260" s="14" t="s">
        <v>263</v>
      </c>
      <c r="F260" s="43"/>
      <c r="G260" s="43"/>
      <c r="H260" s="43"/>
      <c r="I260" s="43"/>
      <c r="J260" s="43"/>
      <c r="K260" s="43"/>
      <c r="L260" s="43"/>
      <c r="M260" s="43">
        <f>K260-L260</f>
      </c>
      <c r="N260" s="44">
        <f>K260/I260</f>
      </c>
    </row>
    <row x14ac:dyDescent="0.25" r="261" customHeight="1" ht="17.25">
      <c r="A261" s="1"/>
      <c r="B261" s="13"/>
      <c r="C261" s="36"/>
      <c r="D261" s="42">
        <v>2157</v>
      </c>
      <c r="E261" s="14" t="s">
        <v>264</v>
      </c>
      <c r="F261" s="43"/>
      <c r="G261" s="43"/>
      <c r="H261" s="43"/>
      <c r="I261" s="43"/>
      <c r="J261" s="43"/>
      <c r="K261" s="43"/>
      <c r="L261" s="43"/>
      <c r="M261" s="43">
        <f>K261-L261</f>
      </c>
      <c r="N261" s="44">
        <f>K261/I261</f>
      </c>
    </row>
    <row x14ac:dyDescent="0.25" r="262" customHeight="1" ht="17.25">
      <c r="A262" s="1"/>
      <c r="B262" s="13"/>
      <c r="C262" s="36"/>
      <c r="D262" s="42">
        <v>2158</v>
      </c>
      <c r="E262" s="14" t="s">
        <v>265</v>
      </c>
      <c r="F262" s="43"/>
      <c r="G262" s="43"/>
      <c r="H262" s="43"/>
      <c r="I262" s="43"/>
      <c r="J262" s="43"/>
      <c r="K262" s="43"/>
      <c r="L262" s="43"/>
      <c r="M262" s="43">
        <f>K262-L262</f>
      </c>
      <c r="N262" s="44">
        <f>K262/I262</f>
      </c>
    </row>
    <row x14ac:dyDescent="0.25" r="263" customHeight="1" ht="17.25">
      <c r="A263" s="1"/>
      <c r="B263" s="13"/>
      <c r="C263" s="40">
        <v>216</v>
      </c>
      <c r="D263" s="36"/>
      <c r="E263" s="37" t="s">
        <v>266</v>
      </c>
      <c r="F263" s="38"/>
      <c r="G263" s="38"/>
      <c r="H263" s="38"/>
      <c r="I263" s="38"/>
      <c r="J263" s="38"/>
      <c r="K263" s="38"/>
      <c r="L263" s="38"/>
      <c r="M263" s="38"/>
      <c r="N263" s="38"/>
    </row>
    <row x14ac:dyDescent="0.25" r="264" customHeight="1" ht="17.25">
      <c r="A264" s="1"/>
      <c r="B264" s="13"/>
      <c r="C264" s="36"/>
      <c r="D264" s="42">
        <v>2161</v>
      </c>
      <c r="E264" s="14" t="s">
        <v>267</v>
      </c>
      <c r="F264" s="43"/>
      <c r="G264" s="43"/>
      <c r="H264" s="43"/>
      <c r="I264" s="43"/>
      <c r="J264" s="43"/>
      <c r="K264" s="43"/>
      <c r="L264" s="43"/>
      <c r="M264" s="43">
        <f>K264-L264</f>
      </c>
      <c r="N264" s="44">
        <f>K264/I264</f>
      </c>
    </row>
    <row x14ac:dyDescent="0.25" r="265" customHeight="1" ht="17.25">
      <c r="A265" s="1"/>
      <c r="B265" s="13"/>
      <c r="C265" s="36"/>
      <c r="D265" s="42">
        <v>2162</v>
      </c>
      <c r="E265" s="14" t="s">
        <v>268</v>
      </c>
      <c r="F265" s="43"/>
      <c r="G265" s="43"/>
      <c r="H265" s="43"/>
      <c r="I265" s="43"/>
      <c r="J265" s="43"/>
      <c r="K265" s="43"/>
      <c r="L265" s="43"/>
      <c r="M265" s="43">
        <f>K265-L265</f>
      </c>
      <c r="N265" s="44">
        <f>K265/I265</f>
      </c>
    </row>
    <row x14ac:dyDescent="0.25" r="266" customHeight="1" ht="17.25">
      <c r="A266" s="1"/>
      <c r="B266" s="13"/>
      <c r="C266" s="36"/>
      <c r="D266" s="42">
        <v>2163</v>
      </c>
      <c r="E266" s="14" t="s">
        <v>269</v>
      </c>
      <c r="F266" s="43"/>
      <c r="G266" s="43"/>
      <c r="H266" s="43"/>
      <c r="I266" s="43"/>
      <c r="J266" s="43"/>
      <c r="K266" s="43"/>
      <c r="L266" s="43"/>
      <c r="M266" s="43">
        <f>K266-L266</f>
      </c>
      <c r="N266" s="44">
        <f>K266/I266</f>
      </c>
    </row>
    <row x14ac:dyDescent="0.25" r="267" customHeight="1" ht="17.25">
      <c r="A267" s="1"/>
      <c r="B267" s="13"/>
      <c r="C267" s="36"/>
      <c r="D267" s="42">
        <v>2164</v>
      </c>
      <c r="E267" s="14" t="s">
        <v>270</v>
      </c>
      <c r="F267" s="43"/>
      <c r="G267" s="43"/>
      <c r="H267" s="43"/>
      <c r="I267" s="43"/>
      <c r="J267" s="43"/>
      <c r="K267" s="43"/>
      <c r="L267" s="43"/>
      <c r="M267" s="43">
        <f>K267-L267</f>
      </c>
      <c r="N267" s="44">
        <f>K267/I267</f>
      </c>
    </row>
    <row x14ac:dyDescent="0.25" r="268" customHeight="1" ht="17.25">
      <c r="A268" s="1"/>
      <c r="B268" s="13"/>
      <c r="C268" s="36"/>
      <c r="D268" s="42">
        <v>2165</v>
      </c>
      <c r="E268" s="14" t="s">
        <v>271</v>
      </c>
      <c r="F268" s="43"/>
      <c r="G268" s="43"/>
      <c r="H268" s="43"/>
      <c r="I268" s="43"/>
      <c r="J268" s="43"/>
      <c r="K268" s="43"/>
      <c r="L268" s="43"/>
      <c r="M268" s="43">
        <f>K268-L268</f>
      </c>
      <c r="N268" s="44">
        <f>K268/I268</f>
      </c>
    </row>
    <row x14ac:dyDescent="0.25" r="269" customHeight="1" ht="17.25">
      <c r="A269" s="1"/>
      <c r="B269" s="13"/>
      <c r="C269" s="36"/>
      <c r="D269" s="42">
        <v>2166</v>
      </c>
      <c r="E269" s="14" t="s">
        <v>272</v>
      </c>
      <c r="F269" s="43"/>
      <c r="G269" s="43"/>
      <c r="H269" s="43"/>
      <c r="I269" s="43"/>
      <c r="J269" s="43"/>
      <c r="K269" s="43"/>
      <c r="L269" s="43"/>
      <c r="M269" s="43">
        <f>K269-L269</f>
      </c>
      <c r="N269" s="44">
        <f>K269/I269</f>
      </c>
    </row>
    <row x14ac:dyDescent="0.25" r="270" customHeight="1" ht="17.25">
      <c r="A270" s="1"/>
      <c r="B270" s="13"/>
      <c r="C270" s="36"/>
      <c r="D270" s="42">
        <v>2167</v>
      </c>
      <c r="E270" s="14" t="s">
        <v>273</v>
      </c>
      <c r="F270" s="43"/>
      <c r="G270" s="43"/>
      <c r="H270" s="43"/>
      <c r="I270" s="43"/>
      <c r="J270" s="43"/>
      <c r="K270" s="43"/>
      <c r="L270" s="43"/>
      <c r="M270" s="43">
        <f>K270-L270</f>
      </c>
      <c r="N270" s="44">
        <f>K270/I270</f>
      </c>
    </row>
    <row x14ac:dyDescent="0.25" r="271" customHeight="1" ht="17.25">
      <c r="A271" s="1"/>
      <c r="B271" s="13"/>
      <c r="C271" s="36"/>
      <c r="D271" s="42">
        <v>2168</v>
      </c>
      <c r="E271" s="14" t="s">
        <v>274</v>
      </c>
      <c r="F271" s="43"/>
      <c r="G271" s="43"/>
      <c r="H271" s="43"/>
      <c r="I271" s="43"/>
      <c r="J271" s="43"/>
      <c r="K271" s="43"/>
      <c r="L271" s="43"/>
      <c r="M271" s="43">
        <f>K271-L271</f>
      </c>
      <c r="N271" s="44">
        <f>K271/I271</f>
      </c>
    </row>
    <row x14ac:dyDescent="0.25" r="272" customHeight="1" ht="17.25">
      <c r="A272" s="1"/>
      <c r="B272" s="13"/>
      <c r="C272" s="40">
        <v>217</v>
      </c>
      <c r="D272" s="36"/>
      <c r="E272" s="37" t="s">
        <v>275</v>
      </c>
      <c r="F272" s="38"/>
      <c r="G272" s="38"/>
      <c r="H272" s="38"/>
      <c r="I272" s="38"/>
      <c r="J272" s="38"/>
      <c r="K272" s="38"/>
      <c r="L272" s="38"/>
      <c r="M272" s="38"/>
      <c r="N272" s="38"/>
    </row>
    <row x14ac:dyDescent="0.25" r="273" customHeight="1" ht="17.25">
      <c r="A273" s="1"/>
      <c r="B273" s="13"/>
      <c r="C273" s="36"/>
      <c r="D273" s="42">
        <v>2171</v>
      </c>
      <c r="E273" s="14" t="s">
        <v>276</v>
      </c>
      <c r="F273" s="43"/>
      <c r="G273" s="43"/>
      <c r="H273" s="43"/>
      <c r="I273" s="43"/>
      <c r="J273" s="43"/>
      <c r="K273" s="43"/>
      <c r="L273" s="43"/>
      <c r="M273" s="43">
        <f>K273-L273</f>
      </c>
      <c r="N273" s="44">
        <f>K273/I273</f>
      </c>
    </row>
    <row x14ac:dyDescent="0.25" r="274" customHeight="1" ht="17.25">
      <c r="A274" s="1"/>
      <c r="B274" s="13"/>
      <c r="C274" s="36"/>
      <c r="D274" s="42">
        <v>2172</v>
      </c>
      <c r="E274" s="14" t="s">
        <v>277</v>
      </c>
      <c r="F274" s="43"/>
      <c r="G274" s="43"/>
      <c r="H274" s="43"/>
      <c r="I274" s="43"/>
      <c r="J274" s="43"/>
      <c r="K274" s="43"/>
      <c r="L274" s="43"/>
      <c r="M274" s="43">
        <f>K274-L274</f>
      </c>
      <c r="N274" s="44">
        <f>K274/I274</f>
      </c>
    </row>
    <row x14ac:dyDescent="0.25" r="275" customHeight="1" ht="17.25">
      <c r="A275" s="1"/>
      <c r="B275" s="13"/>
      <c r="C275" s="36"/>
      <c r="D275" s="42">
        <v>2173</v>
      </c>
      <c r="E275" s="14" t="s">
        <v>278</v>
      </c>
      <c r="F275" s="43"/>
      <c r="G275" s="43"/>
      <c r="H275" s="43"/>
      <c r="I275" s="43"/>
      <c r="J275" s="43"/>
      <c r="K275" s="43"/>
      <c r="L275" s="43"/>
      <c r="M275" s="43">
        <f>K275-L275</f>
      </c>
      <c r="N275" s="44">
        <f>K275/I275</f>
      </c>
    </row>
    <row x14ac:dyDescent="0.25" r="276" customHeight="1" ht="17.25">
      <c r="A276" s="1"/>
      <c r="B276" s="13"/>
      <c r="C276" s="36"/>
      <c r="D276" s="42">
        <v>2174</v>
      </c>
      <c r="E276" s="14" t="s">
        <v>279</v>
      </c>
      <c r="F276" s="43"/>
      <c r="G276" s="43"/>
      <c r="H276" s="43"/>
      <c r="I276" s="43"/>
      <c r="J276" s="43"/>
      <c r="K276" s="43"/>
      <c r="L276" s="43"/>
      <c r="M276" s="43">
        <f>K276-L276</f>
      </c>
      <c r="N276" s="44">
        <f>K276/I276</f>
      </c>
    </row>
    <row x14ac:dyDescent="0.25" r="277" customHeight="1" ht="17.25">
      <c r="A277" s="1"/>
      <c r="B277" s="13"/>
      <c r="C277" s="36"/>
      <c r="D277" s="42">
        <v>2175</v>
      </c>
      <c r="E277" s="14" t="s">
        <v>280</v>
      </c>
      <c r="F277" s="43"/>
      <c r="G277" s="43"/>
      <c r="H277" s="43"/>
      <c r="I277" s="43"/>
      <c r="J277" s="43"/>
      <c r="K277" s="43"/>
      <c r="L277" s="43"/>
      <c r="M277" s="43">
        <f>K277-L277</f>
      </c>
      <c r="N277" s="44">
        <f>K277/I277</f>
      </c>
    </row>
    <row x14ac:dyDescent="0.25" r="278" customHeight="1" ht="17.25">
      <c r="A278" s="1"/>
      <c r="B278" s="13"/>
      <c r="C278" s="36"/>
      <c r="D278" s="42">
        <v>2176</v>
      </c>
      <c r="E278" s="14" t="s">
        <v>281</v>
      </c>
      <c r="F278" s="43"/>
      <c r="G278" s="43"/>
      <c r="H278" s="43"/>
      <c r="I278" s="43"/>
      <c r="J278" s="43"/>
      <c r="K278" s="43"/>
      <c r="L278" s="43"/>
      <c r="M278" s="43">
        <f>K278-L278</f>
      </c>
      <c r="N278" s="44">
        <f>K278/I278</f>
      </c>
    </row>
    <row x14ac:dyDescent="0.25" r="279" customHeight="1" ht="17.25">
      <c r="A279" s="1"/>
      <c r="B279" s="13"/>
      <c r="C279" s="36"/>
      <c r="D279" s="42">
        <v>2178</v>
      </c>
      <c r="E279" s="14" t="s">
        <v>282</v>
      </c>
      <c r="F279" s="43"/>
      <c r="G279" s="43"/>
      <c r="H279" s="43"/>
      <c r="I279" s="43"/>
      <c r="J279" s="43"/>
      <c r="K279" s="43"/>
      <c r="L279" s="43"/>
      <c r="M279" s="43">
        <f>K279-L279</f>
      </c>
      <c r="N279" s="44">
        <f>K279/I279</f>
      </c>
    </row>
    <row x14ac:dyDescent="0.25" r="280" customHeight="1" ht="17.25">
      <c r="A280" s="1"/>
      <c r="B280" s="13"/>
      <c r="C280" s="40">
        <v>218</v>
      </c>
      <c r="D280" s="36"/>
      <c r="E280" s="37" t="s">
        <v>283</v>
      </c>
      <c r="F280" s="38"/>
      <c r="G280" s="38"/>
      <c r="H280" s="38"/>
      <c r="I280" s="38"/>
      <c r="J280" s="38"/>
      <c r="K280" s="38"/>
      <c r="L280" s="38"/>
      <c r="M280" s="38"/>
      <c r="N280" s="38"/>
    </row>
    <row x14ac:dyDescent="0.25" r="281" customHeight="1" ht="17.25">
      <c r="A281" s="1"/>
      <c r="B281" s="13"/>
      <c r="C281" s="36"/>
      <c r="D281" s="42">
        <v>2181</v>
      </c>
      <c r="E281" s="14" t="s">
        <v>284</v>
      </c>
      <c r="F281" s="43"/>
      <c r="G281" s="43"/>
      <c r="H281" s="43"/>
      <c r="I281" s="43"/>
      <c r="J281" s="43"/>
      <c r="K281" s="43"/>
      <c r="L281" s="43"/>
      <c r="M281" s="43">
        <f>K281-L281</f>
      </c>
      <c r="N281" s="44">
        <f>K281/I281</f>
      </c>
    </row>
    <row x14ac:dyDescent="0.25" r="282" customHeight="1" ht="17.25">
      <c r="A282" s="1"/>
      <c r="B282" s="13"/>
      <c r="C282" s="36"/>
      <c r="D282" s="42">
        <v>2182</v>
      </c>
      <c r="E282" s="14" t="s">
        <v>285</v>
      </c>
      <c r="F282" s="43"/>
      <c r="G282" s="43"/>
      <c r="H282" s="43"/>
      <c r="I282" s="43"/>
      <c r="J282" s="43"/>
      <c r="K282" s="43"/>
      <c r="L282" s="43"/>
      <c r="M282" s="43">
        <f>K282-L282</f>
      </c>
      <c r="N282" s="44">
        <f>K282/I282</f>
      </c>
    </row>
    <row x14ac:dyDescent="0.25" r="283" customHeight="1" ht="17.25">
      <c r="A283" s="1"/>
      <c r="B283" s="13"/>
      <c r="C283" s="36"/>
      <c r="D283" s="42">
        <v>2183</v>
      </c>
      <c r="E283" s="14" t="s">
        <v>286</v>
      </c>
      <c r="F283" s="43"/>
      <c r="G283" s="43"/>
      <c r="H283" s="43"/>
      <c r="I283" s="43"/>
      <c r="J283" s="43"/>
      <c r="K283" s="43"/>
      <c r="L283" s="43"/>
      <c r="M283" s="43">
        <f>K283-L283</f>
      </c>
      <c r="N283" s="44">
        <f>K283/I283</f>
      </c>
    </row>
    <row x14ac:dyDescent="0.25" r="284" customHeight="1" ht="17.25">
      <c r="A284" s="1"/>
      <c r="B284" s="13"/>
      <c r="C284" s="36"/>
      <c r="D284" s="42">
        <v>2188</v>
      </c>
      <c r="E284" s="14" t="s">
        <v>283</v>
      </c>
      <c r="F284" s="43"/>
      <c r="G284" s="43"/>
      <c r="H284" s="43"/>
      <c r="I284" s="43"/>
      <c r="J284" s="43"/>
      <c r="K284" s="43"/>
      <c r="L284" s="43"/>
      <c r="M284" s="43">
        <f>K284-L284</f>
      </c>
      <c r="N284" s="44">
        <f>K284/I284</f>
      </c>
    </row>
    <row x14ac:dyDescent="0.25" r="285" customHeight="1" ht="30">
      <c r="A285" s="1"/>
      <c r="B285" s="13"/>
      <c r="C285" s="36"/>
      <c r="D285" s="36"/>
      <c r="E285" s="16" t="s">
        <v>42</v>
      </c>
      <c r="F285" s="38">
        <f>F194+F208+F223</f>
      </c>
      <c r="G285" s="38">
        <f>G194+G208+G223</f>
      </c>
      <c r="H285" s="38">
        <f>H194+H208+H223</f>
      </c>
      <c r="I285" s="38">
        <f>I194+I208+I223</f>
      </c>
      <c r="J285" s="38">
        <f>J194+J208+J223</f>
      </c>
      <c r="K285" s="38">
        <f>K194+K208+K223</f>
      </c>
      <c r="L285" s="38">
        <f>L194+L208+L223</f>
      </c>
      <c r="M285" s="38">
        <f>M194+M208+M223</f>
      </c>
      <c r="N285" s="39">
        <f>K285/I285</f>
      </c>
    </row>
    <row x14ac:dyDescent="0.25" r="286" customHeight="1" ht="30">
      <c r="A286" s="1"/>
      <c r="B286" s="13">
        <v>20</v>
      </c>
      <c r="C286" s="36"/>
      <c r="D286" s="36"/>
      <c r="E286" s="37" t="s">
        <v>38</v>
      </c>
      <c r="F286" s="38"/>
      <c r="G286" s="38"/>
      <c r="H286" s="38"/>
      <c r="I286" s="38"/>
      <c r="J286" s="38"/>
      <c r="K286" s="38"/>
      <c r="L286" s="38"/>
      <c r="M286" s="38">
        <f>K286-L286</f>
      </c>
      <c r="N286" s="38"/>
    </row>
    <row x14ac:dyDescent="0.25" r="287" customHeight="1" ht="30">
      <c r="A287" s="1"/>
      <c r="B287" s="13">
        <v>21</v>
      </c>
      <c r="C287" s="36"/>
      <c r="D287" s="36"/>
      <c r="E287" s="37" t="s">
        <v>40</v>
      </c>
      <c r="F287" s="38"/>
      <c r="G287" s="38"/>
      <c r="H287" s="38"/>
      <c r="I287" s="38"/>
      <c r="J287" s="38"/>
      <c r="K287" s="38"/>
      <c r="L287" s="38"/>
      <c r="M287" s="38">
        <f>K287-L287</f>
      </c>
      <c r="N287" s="38"/>
    </row>
    <row x14ac:dyDescent="0.25" r="288" customHeight="1" ht="30">
      <c r="A288" s="1"/>
      <c r="B288" s="13"/>
      <c r="C288" s="36"/>
      <c r="D288" s="36"/>
      <c r="E288" s="16" t="s">
        <v>45</v>
      </c>
      <c r="F288" s="38">
        <f>SUM(F286:F287)</f>
      </c>
      <c r="G288" s="38">
        <f>SUM(G286:G287)</f>
      </c>
      <c r="H288" s="38">
        <f>SUM(H286:H287)</f>
      </c>
      <c r="I288" s="38">
        <f>SUM(I286:I287)</f>
      </c>
      <c r="J288" s="38">
        <f>SUM(J286:J287)</f>
      </c>
      <c r="K288" s="38">
        <f>SUM(K286:K287)</f>
      </c>
      <c r="L288" s="38">
        <f>SUM(L286:L287)</f>
      </c>
      <c r="M288" s="38">
        <f>SUM(M286:M287)</f>
      </c>
      <c r="N288" s="39">
        <f>K288/I288</f>
      </c>
    </row>
    <row x14ac:dyDescent="0.25" r="289" customHeight="1" ht="30">
      <c r="A289" s="1"/>
      <c r="B289" s="13"/>
      <c r="C289" s="36"/>
      <c r="D289" s="36"/>
      <c r="E289" s="16" t="s">
        <v>287</v>
      </c>
      <c r="F289" s="38">
        <f>F285+F288</f>
      </c>
      <c r="G289" s="38">
        <f>G285+G288</f>
      </c>
      <c r="H289" s="38">
        <f>H285+H288</f>
      </c>
      <c r="I289" s="38">
        <f>I285+I288</f>
      </c>
      <c r="J289" s="38">
        <f>J285+J288</f>
      </c>
      <c r="K289" s="38">
        <f>K285+K288</f>
      </c>
      <c r="L289" s="38">
        <f>L285+L288</f>
      </c>
      <c r="M289" s="38">
        <f>M285+M288</f>
      </c>
      <c r="N289" s="39">
        <f>K289/I289</f>
      </c>
    </row>
  </sheetData>
  <mergeCells count="3">
    <mergeCell ref="B2:N2"/>
    <mergeCell ref="B8:N8"/>
    <mergeCell ref="B192:N19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6"/>
  <sheetViews>
    <sheetView workbookViewId="0" tabSelected="1"/>
  </sheetViews>
  <sheetFormatPr defaultRowHeight="15" x14ac:dyDescent="0.25"/>
  <cols>
    <col min="1" max="1" style="21" width="11.576428571428572" customWidth="1" bestFit="1"/>
    <col min="2" max="2" style="22" width="8.576428571428572" customWidth="1" bestFit="1"/>
    <col min="3" max="3" style="21" width="44.43357142857143" customWidth="1" bestFit="1"/>
    <col min="4" max="4" style="21" width="16.290714285714284" customWidth="1" bestFit="1"/>
    <col min="5" max="5" style="21" width="13.576428571428572" customWidth="1" bestFit="1"/>
    <col min="6" max="6" style="21" width="14.147857142857141" customWidth="1" bestFit="1"/>
    <col min="7" max="7" style="23" width="8.576428571428572" customWidth="1" bestFit="1"/>
    <col min="8" max="8" style="21" width="44.43357142857143" customWidth="1" bestFit="1"/>
    <col min="9" max="9" style="21" width="18.433571428571426" customWidth="1" bestFit="1"/>
    <col min="10" max="10" style="21" width="17.290714285714284" customWidth="1" bestFit="1"/>
    <col min="11" max="11" style="21" width="17.719285714285714" customWidth="1" bestFit="1"/>
  </cols>
  <sheetData>
    <row x14ac:dyDescent="0.25" r="1" customHeight="1" ht="17.25">
      <c r="A1" s="1"/>
      <c r="B1" s="2"/>
      <c r="C1" s="1"/>
      <c r="D1" s="1"/>
      <c r="E1" s="1"/>
      <c r="F1" s="1"/>
      <c r="G1" s="3"/>
      <c r="H1" s="1"/>
      <c r="I1" s="1"/>
      <c r="J1" s="1"/>
      <c r="K1" s="1"/>
    </row>
    <row x14ac:dyDescent="0.25" r="2" customHeight="1" ht="21.75">
      <c r="A2" s="1"/>
      <c r="B2" s="4" t="s">
        <v>0</v>
      </c>
      <c r="C2" s="5"/>
      <c r="D2" s="5"/>
      <c r="E2" s="5"/>
      <c r="F2" s="5"/>
      <c r="G2" s="4"/>
      <c r="H2" s="5"/>
      <c r="I2" s="5"/>
      <c r="J2" s="5"/>
      <c r="K2" s="5"/>
    </row>
    <row x14ac:dyDescent="0.25" r="3" customHeight="1" ht="19.5">
      <c r="A3" s="1"/>
      <c r="B3" s="2"/>
      <c r="C3" s="1"/>
      <c r="D3" s="6"/>
      <c r="E3" s="7"/>
      <c r="F3" s="7"/>
      <c r="G3" s="7"/>
      <c r="H3" s="6"/>
      <c r="I3" s="6"/>
      <c r="J3" s="6"/>
      <c r="K3" s="1"/>
    </row>
    <row x14ac:dyDescent="0.25" r="4" customHeight="1" ht="19.5">
      <c r="A4" s="1"/>
      <c r="B4" s="2"/>
      <c r="C4" s="8" t="s">
        <v>1</v>
      </c>
      <c r="D4" s="6"/>
      <c r="E4" s="6"/>
      <c r="F4" s="6"/>
      <c r="G4" s="7"/>
      <c r="H4" s="6"/>
      <c r="I4" s="6"/>
      <c r="J4" s="6"/>
      <c r="K4" s="1"/>
    </row>
    <row x14ac:dyDescent="0.25" r="5" customHeight="1" ht="18.75">
      <c r="A5" s="1"/>
      <c r="B5" s="2"/>
      <c r="C5" s="8"/>
      <c r="D5" s="7"/>
      <c r="E5" s="7"/>
      <c r="F5" s="7"/>
      <c r="G5" s="7"/>
      <c r="H5" s="7"/>
      <c r="I5" s="7"/>
      <c r="J5" s="7"/>
      <c r="K5" s="8"/>
    </row>
    <row x14ac:dyDescent="0.25" r="6" customHeight="1" ht="19.5">
      <c r="A6" s="1"/>
      <c r="B6" s="9"/>
      <c r="C6" s="10" t="s">
        <v>2</v>
      </c>
      <c r="D6" s="10"/>
      <c r="E6" s="10"/>
      <c r="F6" s="10"/>
      <c r="G6" s="9"/>
      <c r="H6" s="10" t="s">
        <v>3</v>
      </c>
      <c r="I6" s="10"/>
      <c r="J6" s="10"/>
      <c r="K6" s="10"/>
    </row>
    <row x14ac:dyDescent="0.25" r="7" customHeight="1" ht="33">
      <c r="A7" s="1"/>
      <c r="B7" s="11" t="s">
        <v>4</v>
      </c>
      <c r="C7" s="12" t="s">
        <v>5</v>
      </c>
      <c r="D7" s="12" t="s">
        <v>6</v>
      </c>
      <c r="E7" s="12" t="s">
        <v>7</v>
      </c>
      <c r="F7" s="12" t="s">
        <v>8</v>
      </c>
      <c r="G7" s="11" t="s">
        <v>4</v>
      </c>
      <c r="H7" s="12" t="s">
        <v>5</v>
      </c>
      <c r="I7" s="12" t="s">
        <v>6</v>
      </c>
      <c r="J7" s="12" t="s">
        <v>7</v>
      </c>
      <c r="K7" s="12" t="s">
        <v>8</v>
      </c>
    </row>
    <row x14ac:dyDescent="0.25" r="8" customHeight="1" ht="19.5">
      <c r="A8" s="1"/>
      <c r="B8" s="13">
        <v>60</v>
      </c>
      <c r="C8" s="14" t="s">
        <v>9</v>
      </c>
      <c r="D8" s="14"/>
      <c r="E8" s="14"/>
      <c r="F8" s="14"/>
      <c r="G8" s="13">
        <v>70</v>
      </c>
      <c r="H8" s="14" t="s">
        <v>10</v>
      </c>
      <c r="I8" s="14"/>
      <c r="J8" s="14"/>
      <c r="K8" s="14"/>
    </row>
    <row x14ac:dyDescent="0.25" r="9" customHeight="1" ht="19.5">
      <c r="A9" s="1"/>
      <c r="B9" s="13">
        <v>61</v>
      </c>
      <c r="C9" s="14" t="s">
        <v>11</v>
      </c>
      <c r="D9" s="14"/>
      <c r="E9" s="14"/>
      <c r="F9" s="14"/>
      <c r="G9" s="13">
        <v>71</v>
      </c>
      <c r="H9" s="14" t="s">
        <v>12</v>
      </c>
      <c r="I9" s="14"/>
      <c r="J9" s="14"/>
      <c r="K9" s="14"/>
    </row>
    <row x14ac:dyDescent="0.25" r="10" customHeight="1" ht="30">
      <c r="A10" s="1"/>
      <c r="B10" s="13">
        <v>62</v>
      </c>
      <c r="C10" s="14" t="s">
        <v>13</v>
      </c>
      <c r="D10" s="14"/>
      <c r="E10" s="14"/>
      <c r="F10" s="14"/>
      <c r="G10" s="13">
        <v>72</v>
      </c>
      <c r="H10" s="14" t="s">
        <v>14</v>
      </c>
      <c r="I10" s="14"/>
      <c r="J10" s="14"/>
      <c r="K10" s="14"/>
    </row>
    <row x14ac:dyDescent="0.25" r="11" customHeight="1" ht="30">
      <c r="A11" s="1"/>
      <c r="B11" s="13">
        <v>63</v>
      </c>
      <c r="C11" s="14" t="s">
        <v>15</v>
      </c>
      <c r="D11" s="14"/>
      <c r="E11" s="14"/>
      <c r="F11" s="14"/>
      <c r="G11" s="13">
        <v>74</v>
      </c>
      <c r="H11" s="14" t="s">
        <v>16</v>
      </c>
      <c r="I11" s="14"/>
      <c r="J11" s="14"/>
      <c r="K11" s="14"/>
    </row>
    <row x14ac:dyDescent="0.25" r="12" customHeight="1" ht="30">
      <c r="A12" s="1"/>
      <c r="B12" s="13">
        <v>64</v>
      </c>
      <c r="C12" s="14" t="s">
        <v>17</v>
      </c>
      <c r="D12" s="14"/>
      <c r="E12" s="14"/>
      <c r="F12" s="14"/>
      <c r="G12" s="13">
        <v>75</v>
      </c>
      <c r="H12" s="14" t="s">
        <v>18</v>
      </c>
      <c r="I12" s="14"/>
      <c r="J12" s="14"/>
      <c r="K12" s="14"/>
    </row>
    <row x14ac:dyDescent="0.25" r="13" customHeight="1" ht="30">
      <c r="A13" s="1"/>
      <c r="B13" s="13">
        <v>65</v>
      </c>
      <c r="C13" s="14" t="s">
        <v>19</v>
      </c>
      <c r="D13" s="14"/>
      <c r="E13" s="14"/>
      <c r="F13" s="14"/>
      <c r="G13" s="13">
        <v>76</v>
      </c>
      <c r="H13" s="14" t="s">
        <v>20</v>
      </c>
      <c r="I13" s="14"/>
      <c r="J13" s="14"/>
      <c r="K13" s="14"/>
    </row>
    <row x14ac:dyDescent="0.25" r="14" customHeight="1" ht="30">
      <c r="A14" s="1"/>
      <c r="B14" s="13">
        <v>66</v>
      </c>
      <c r="C14" s="14" t="s">
        <v>21</v>
      </c>
      <c r="D14" s="14"/>
      <c r="E14" s="14"/>
      <c r="F14" s="14"/>
      <c r="G14" s="13">
        <v>77</v>
      </c>
      <c r="H14" s="14" t="s">
        <v>22</v>
      </c>
      <c r="I14" s="14"/>
      <c r="J14" s="14"/>
      <c r="K14" s="14"/>
    </row>
    <row x14ac:dyDescent="0.25" r="15" customHeight="1" ht="30">
      <c r="A15" s="1"/>
      <c r="B15" s="13">
        <v>67</v>
      </c>
      <c r="C15" s="14" t="s">
        <v>23</v>
      </c>
      <c r="D15" s="14"/>
      <c r="E15" s="14"/>
      <c r="F15" s="14"/>
      <c r="G15" s="13"/>
      <c r="H15" s="14"/>
      <c r="I15" s="14"/>
      <c r="J15" s="14"/>
      <c r="K15" s="14"/>
    </row>
    <row x14ac:dyDescent="0.25" r="16" customHeight="1" ht="30">
      <c r="A16" s="1"/>
      <c r="B16" s="13">
        <v>119</v>
      </c>
      <c r="C16" s="14" t="s">
        <v>24</v>
      </c>
      <c r="D16" s="14"/>
      <c r="E16" s="14"/>
      <c r="F16" s="14"/>
      <c r="G16" s="13">
        <v>110</v>
      </c>
      <c r="H16" s="14" t="s">
        <v>25</v>
      </c>
      <c r="I16" s="14"/>
      <c r="J16" s="14"/>
      <c r="K16" s="14"/>
    </row>
    <row x14ac:dyDescent="0.25" r="17" customHeight="1" ht="30">
      <c r="A17" s="1"/>
      <c r="B17" s="15"/>
      <c r="C17" s="16" t="s">
        <v>26</v>
      </c>
      <c r="D17" s="16"/>
      <c r="E17" s="16"/>
      <c r="F17" s="16"/>
      <c r="G17" s="15"/>
      <c r="H17" s="16" t="s">
        <v>26</v>
      </c>
      <c r="I17" s="16"/>
      <c r="J17" s="16"/>
      <c r="K17" s="16"/>
    </row>
    <row x14ac:dyDescent="0.25" r="18" customHeight="1" ht="30">
      <c r="A18" s="1"/>
      <c r="B18" s="13">
        <v>12</v>
      </c>
      <c r="C18" s="14" t="s">
        <v>27</v>
      </c>
      <c r="D18" s="14"/>
      <c r="E18" s="14"/>
      <c r="F18" s="14"/>
      <c r="G18" s="13">
        <v>774</v>
      </c>
      <c r="H18" s="14" t="s">
        <v>28</v>
      </c>
      <c r="I18" s="14"/>
      <c r="J18" s="14"/>
      <c r="K18" s="14"/>
    </row>
    <row x14ac:dyDescent="0.25" r="19" customHeight="1" ht="30">
      <c r="A19" s="1"/>
      <c r="B19" s="15"/>
      <c r="C19" s="16" t="s">
        <v>29</v>
      </c>
      <c r="D19" s="17"/>
      <c r="E19" s="17"/>
      <c r="F19" s="17"/>
      <c r="G19" s="15"/>
      <c r="H19" s="16" t="s">
        <v>29</v>
      </c>
      <c r="I19" s="17"/>
      <c r="J19" s="17"/>
      <c r="K19" s="17"/>
    </row>
    <row x14ac:dyDescent="0.25" r="20" customHeight="1" ht="30">
      <c r="A20" s="1"/>
      <c r="B20" s="15"/>
      <c r="C20" s="16" t="s">
        <v>30</v>
      </c>
      <c r="D20" s="17"/>
      <c r="E20" s="17"/>
      <c r="F20" s="17"/>
      <c r="G20" s="15"/>
      <c r="H20" s="16" t="s">
        <v>31</v>
      </c>
      <c r="I20" s="17"/>
      <c r="J20" s="17"/>
      <c r="K20" s="17"/>
    </row>
    <row x14ac:dyDescent="0.25" r="21" customHeight="1" ht="30">
      <c r="A21" s="1"/>
      <c r="B21" s="15"/>
      <c r="C21" s="16" t="s">
        <v>32</v>
      </c>
      <c r="D21" s="18"/>
      <c r="E21" s="18"/>
      <c r="F21" s="18"/>
      <c r="G21" s="15"/>
      <c r="H21" s="16" t="s">
        <v>33</v>
      </c>
      <c r="I21" s="18"/>
      <c r="J21" s="18"/>
      <c r="K21" s="18"/>
    </row>
    <row x14ac:dyDescent="0.25" r="22" customHeight="1" ht="30">
      <c r="A22" s="1"/>
      <c r="B22" s="2"/>
      <c r="C22" s="1"/>
      <c r="D22" s="1"/>
      <c r="E22" s="1"/>
      <c r="F22" s="1"/>
      <c r="G22" s="19"/>
      <c r="H22" s="1"/>
      <c r="I22" s="1"/>
      <c r="J22" s="1"/>
      <c r="K22" s="1"/>
    </row>
    <row x14ac:dyDescent="0.25" r="23" customHeight="1" ht="30">
      <c r="A23" s="1"/>
      <c r="B23" s="9"/>
      <c r="C23" s="10" t="s">
        <v>34</v>
      </c>
      <c r="D23" s="10"/>
      <c r="E23" s="10"/>
      <c r="F23" s="10"/>
      <c r="G23" s="9"/>
      <c r="H23" s="10" t="s">
        <v>34</v>
      </c>
      <c r="I23" s="10"/>
      <c r="J23" s="10"/>
      <c r="K23" s="10"/>
    </row>
    <row x14ac:dyDescent="0.25" r="24" customHeight="1" ht="30">
      <c r="A24" s="1"/>
      <c r="B24" s="11" t="s">
        <v>4</v>
      </c>
      <c r="C24" s="20" t="s">
        <v>35</v>
      </c>
      <c r="D24" s="12" t="s">
        <v>6</v>
      </c>
      <c r="E24" s="12" t="s">
        <v>7</v>
      </c>
      <c r="F24" s="12" t="s">
        <v>8</v>
      </c>
      <c r="G24" s="11" t="s">
        <v>4</v>
      </c>
      <c r="H24" s="20" t="s">
        <v>35</v>
      </c>
      <c r="I24" s="12" t="s">
        <v>6</v>
      </c>
      <c r="J24" s="12" t="s">
        <v>7</v>
      </c>
      <c r="K24" s="12" t="s">
        <v>8</v>
      </c>
    </row>
    <row x14ac:dyDescent="0.25" r="25" customHeight="1" ht="30">
      <c r="A25" s="1"/>
      <c r="B25" s="13">
        <v>16</v>
      </c>
      <c r="C25" s="14" t="s">
        <v>36</v>
      </c>
      <c r="D25" s="14"/>
      <c r="E25" s="14"/>
      <c r="F25" s="14"/>
      <c r="G25" s="13">
        <v>10</v>
      </c>
      <c r="H25" s="14" t="s">
        <v>37</v>
      </c>
      <c r="I25" s="14"/>
      <c r="J25" s="14"/>
      <c r="K25" s="14"/>
    </row>
    <row x14ac:dyDescent="0.25" r="26" customHeight="1" ht="30">
      <c r="A26" s="1"/>
      <c r="B26" s="13">
        <v>20</v>
      </c>
      <c r="C26" s="14" t="s">
        <v>38</v>
      </c>
      <c r="D26" s="14"/>
      <c r="E26" s="14"/>
      <c r="F26" s="14"/>
      <c r="G26" s="13">
        <v>13</v>
      </c>
      <c r="H26" s="14" t="s">
        <v>39</v>
      </c>
      <c r="I26" s="14"/>
      <c r="J26" s="14"/>
      <c r="K26" s="14"/>
    </row>
    <row x14ac:dyDescent="0.25" r="27" customHeight="1" ht="30">
      <c r="A27" s="1"/>
      <c r="B27" s="13">
        <v>21</v>
      </c>
      <c r="C27" s="14" t="s">
        <v>40</v>
      </c>
      <c r="D27" s="14"/>
      <c r="E27" s="14"/>
      <c r="F27" s="14"/>
      <c r="G27" s="13">
        <v>14</v>
      </c>
      <c r="H27" s="14" t="s">
        <v>41</v>
      </c>
      <c r="I27" s="14"/>
      <c r="J27" s="14"/>
      <c r="K27" s="14"/>
    </row>
    <row x14ac:dyDescent="0.25" r="28" customHeight="1" ht="30">
      <c r="A28" s="1"/>
      <c r="B28" s="13"/>
      <c r="C28" s="14"/>
      <c r="D28" s="14"/>
      <c r="E28" s="14"/>
      <c r="F28" s="14"/>
      <c r="G28" s="13">
        <v>16</v>
      </c>
      <c r="H28" s="14" t="s">
        <v>36</v>
      </c>
      <c r="I28" s="14"/>
      <c r="J28" s="14"/>
      <c r="K28" s="14"/>
    </row>
    <row x14ac:dyDescent="0.25" r="29" customHeight="1" ht="30">
      <c r="A29" s="1"/>
      <c r="B29" s="13">
        <v>119</v>
      </c>
      <c r="C29" s="14" t="s">
        <v>24</v>
      </c>
      <c r="D29" s="14"/>
      <c r="E29" s="14"/>
      <c r="F29" s="14"/>
      <c r="G29" s="13">
        <v>110</v>
      </c>
      <c r="H29" s="14" t="s">
        <v>25</v>
      </c>
      <c r="I29" s="14"/>
      <c r="J29" s="14"/>
      <c r="K29" s="14"/>
    </row>
    <row x14ac:dyDescent="0.25" r="30" customHeight="1" ht="30">
      <c r="A30" s="1"/>
      <c r="B30" s="15"/>
      <c r="C30" s="16" t="s">
        <v>42</v>
      </c>
      <c r="D30" s="17"/>
      <c r="E30" s="17"/>
      <c r="F30" s="17"/>
      <c r="G30" s="15"/>
      <c r="H30" s="16" t="s">
        <v>42</v>
      </c>
      <c r="I30" s="17"/>
      <c r="J30" s="17"/>
      <c r="K30" s="17"/>
    </row>
    <row x14ac:dyDescent="0.25" r="31" customHeight="1" ht="30">
      <c r="A31" s="1"/>
      <c r="B31" s="13">
        <v>20</v>
      </c>
      <c r="C31" s="14" t="s">
        <v>38</v>
      </c>
      <c r="D31" s="14"/>
      <c r="E31" s="14"/>
      <c r="F31" s="14"/>
      <c r="G31" s="13">
        <v>1012</v>
      </c>
      <c r="H31" s="14" t="s">
        <v>43</v>
      </c>
      <c r="I31" s="14"/>
      <c r="J31" s="14"/>
      <c r="K31" s="14"/>
    </row>
    <row x14ac:dyDescent="0.25" r="32" customHeight="1" ht="30">
      <c r="A32" s="1"/>
      <c r="B32" s="13">
        <v>21</v>
      </c>
      <c r="C32" s="14" t="s">
        <v>40</v>
      </c>
      <c r="D32" s="14"/>
      <c r="E32" s="14"/>
      <c r="F32" s="14"/>
      <c r="G32" s="13">
        <v>1064</v>
      </c>
      <c r="H32" s="14" t="s">
        <v>44</v>
      </c>
      <c r="I32" s="14"/>
      <c r="J32" s="14"/>
      <c r="K32" s="14"/>
    </row>
    <row x14ac:dyDescent="0.25" r="33" customHeight="1" ht="30">
      <c r="A33" s="1"/>
      <c r="B33" s="15"/>
      <c r="C33" s="16" t="s">
        <v>45</v>
      </c>
      <c r="D33" s="17"/>
      <c r="E33" s="17"/>
      <c r="F33" s="17"/>
      <c r="G33" s="15"/>
      <c r="H33" s="16" t="s">
        <v>45</v>
      </c>
      <c r="I33" s="17"/>
      <c r="J33" s="17"/>
      <c r="K33" s="17"/>
    </row>
    <row x14ac:dyDescent="0.25" r="34" customHeight="1" ht="30">
      <c r="A34" s="1"/>
      <c r="B34" s="15"/>
      <c r="C34" s="16" t="s">
        <v>46</v>
      </c>
      <c r="D34" s="17"/>
      <c r="E34" s="17"/>
      <c r="F34" s="17"/>
      <c r="G34" s="15"/>
      <c r="H34" s="16" t="s">
        <v>47</v>
      </c>
      <c r="I34" s="17"/>
      <c r="J34" s="17"/>
      <c r="K34" s="17"/>
    </row>
    <row x14ac:dyDescent="0.25" r="35" customHeight="1" ht="30">
      <c r="A35" s="1"/>
      <c r="B35" s="15"/>
      <c r="C35" s="16" t="s">
        <v>48</v>
      </c>
      <c r="D35" s="18"/>
      <c r="E35" s="18"/>
      <c r="F35" s="18"/>
      <c r="G35" s="15"/>
      <c r="H35" s="16" t="s">
        <v>49</v>
      </c>
      <c r="I35" s="18"/>
      <c r="J35" s="18"/>
      <c r="K35" s="18"/>
    </row>
    <row x14ac:dyDescent="0.25" r="36" customHeight="1" ht="17.25">
      <c r="A36" s="1"/>
      <c r="B36" s="2"/>
      <c r="C36" s="1"/>
      <c r="D36" s="1"/>
      <c r="E36" s="1"/>
      <c r="F36" s="1"/>
      <c r="G36" s="19"/>
      <c r="H36" s="1"/>
      <c r="I36" s="1"/>
      <c r="J36" s="1"/>
      <c r="K36" s="1"/>
    </row>
  </sheetData>
  <mergeCells count="9">
    <mergeCell ref="B2:K2"/>
    <mergeCell ref="C6:F6"/>
    <mergeCell ref="H6:K6"/>
    <mergeCell ref="D21:F21"/>
    <mergeCell ref="I21:K21"/>
    <mergeCell ref="C23:F23"/>
    <mergeCell ref="H23:K23"/>
    <mergeCell ref="D35:F35"/>
    <mergeCell ref="I35:K3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RECETTE</vt:lpstr>
      <vt:lpstr>DEPENSES</vt:lpstr>
      <vt:lpstr>EQUILIBRE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2025-12-07T16:04:00.633Z</dcterms:created>
  <dcterms:modified xsi:type="dcterms:W3CDTF">2025-12-07T16:04:00.633Z</dcterms:modified>
</cp:coreProperties>
</file>