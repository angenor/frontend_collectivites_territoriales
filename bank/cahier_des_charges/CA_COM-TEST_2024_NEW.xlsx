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ETTE" state="visible" r:id="rId4"/>
    <sheet sheetId="2" name="DEPENSES" state="visible" r:id="rId5"/>
    <sheet sheetId="3" name="EQUILIBRE" state="visible" r:id="rId6"/>
  </sheets>
  <calcPr calcId="171027"/>
</workbook>
</file>

<file path=xl/sharedStrings.xml><?xml version="1.0" encoding="utf-8"?>
<sst xmlns="http://schemas.openxmlformats.org/spreadsheetml/2006/main" count="879" uniqueCount="797">
  <si>
    <t>TABLEAU DETAILLE DES RECETTES</t>
  </si>
  <si>
    <t>COLLECTIVITE : Commune Test (COM-TEST)</t>
  </si>
  <si>
    <t>RECETTES DE FONCTIONNEMENT</t>
  </si>
  <si>
    <t>COMPTE</t>
  </si>
  <si>
    <t>INTITULES</t>
  </si>
  <si>
    <t>BUDGET PRIMITIF</t>
  </si>
  <si>
    <t>BUDGET ADDITIONNEL</t>
  </si>
  <si>
    <t>MODIFICATIONS +/-</t>
  </si>
  <si>
    <t>PREVISIONS DEFINITIVES (1)</t>
  </si>
  <si>
    <t>OR ADMIS (2)</t>
  </si>
  <si>
    <t>RECOUVREMENT</t>
  </si>
  <si>
    <t>RESTE A RECOUVRER</t>
  </si>
  <si>
    <t>TAUX D'EXECUTION (2)/(1)</t>
  </si>
  <si>
    <t>70</t>
  </si>
  <si>
    <t>IMPOTS SUR LES REVENUS, BENEFICES ET GAINS</t>
  </si>
  <si>
    <t>708</t>
  </si>
  <si>
    <t>Autres impôts sur les revenus</t>
  </si>
  <si>
    <t>7080</t>
  </si>
  <si>
    <t>Autres impôts sur les revenus - Impôt synthétique</t>
  </si>
  <si>
    <t>71</t>
  </si>
  <si>
    <t>IMPOTS SUR LE PATRIMOINE</t>
  </si>
  <si>
    <t>714</t>
  </si>
  <si>
    <t>Impôts fonciers sur les terrains - IFT</t>
  </si>
  <si>
    <t>7140</t>
  </si>
  <si>
    <t>715</t>
  </si>
  <si>
    <t>Impôt foncier sur les propriétés bâties – IFPB</t>
  </si>
  <si>
    <t>7151</t>
  </si>
  <si>
    <t>7158</t>
  </si>
  <si>
    <t>Autres impôts locaux sur les propriétés baties</t>
  </si>
  <si>
    <t>718</t>
  </si>
  <si>
    <t>Taxe annuelle sur autres patrimoines</t>
  </si>
  <si>
    <t>7181</t>
  </si>
  <si>
    <t>Taxes sur les appareils automatiques ou électroniques</t>
  </si>
  <si>
    <t>7182</t>
  </si>
  <si>
    <t>Taxes sur les appareils mecaniques</t>
  </si>
  <si>
    <t>7188</t>
  </si>
  <si>
    <t>Autres taxes et impots annuels</t>
  </si>
  <si>
    <t>72</t>
  </si>
  <si>
    <t>IMPOTS SUR LES BIENS ET SERVICES</t>
  </si>
  <si>
    <t>725</t>
  </si>
  <si>
    <t>Taxes particulières sur les biens</t>
  </si>
  <si>
    <t>7251</t>
  </si>
  <si>
    <t>Taxes sur l'électricité</t>
  </si>
  <si>
    <t>7252</t>
  </si>
  <si>
    <t>Taxes sur l'eau</t>
  </si>
  <si>
    <t>7253</t>
  </si>
  <si>
    <t>Surtaxe sur l'eau et l'électricité</t>
  </si>
  <si>
    <t>7254</t>
  </si>
  <si>
    <t>Taxes sur les eaux minérales</t>
  </si>
  <si>
    <t>7258</t>
  </si>
  <si>
    <t>Autres taxes particulières sur les biens</t>
  </si>
  <si>
    <t>726</t>
  </si>
  <si>
    <t>Taxes particulières sur les services</t>
  </si>
  <si>
    <t>7261</t>
  </si>
  <si>
    <t>taxes sur la publicité</t>
  </si>
  <si>
    <t>7262</t>
  </si>
  <si>
    <t>Taxe d’abattage</t>
  </si>
  <si>
    <t>7263</t>
  </si>
  <si>
    <t>Taxe de visite et de poinçonnage des viandes</t>
  </si>
  <si>
    <t>7268</t>
  </si>
  <si>
    <t>Autres taxes locales sur les services</t>
  </si>
  <si>
    <t>727</t>
  </si>
  <si>
    <t>Taxes particulières sur les activités</t>
  </si>
  <si>
    <t>7273</t>
  </si>
  <si>
    <t>Impôt de licence</t>
  </si>
  <si>
    <t>7274</t>
  </si>
  <si>
    <t>Prélèvement sur les produits de jeux - PPJ</t>
  </si>
  <si>
    <t>7276</t>
  </si>
  <si>
    <t>Taxes sur les fêtes, spectacles et manifestations…</t>
  </si>
  <si>
    <t>7277</t>
  </si>
  <si>
    <t>Taxes sur les établissements exerçant des activités à but lucratif</t>
  </si>
  <si>
    <t>7278</t>
  </si>
  <si>
    <t>Autres taxes locales sur les activités</t>
  </si>
  <si>
    <t>728</t>
  </si>
  <si>
    <t>Autres impôts sur les biens et services</t>
  </si>
  <si>
    <t>7280</t>
  </si>
  <si>
    <t>74</t>
  </si>
  <si>
    <t>AUTRES RECETTES FISCALES</t>
  </si>
  <si>
    <t>743</t>
  </si>
  <si>
    <t>Amendes fiscales et pénalités</t>
  </si>
  <si>
    <t>7431</t>
  </si>
  <si>
    <t>Amendes fiscales</t>
  </si>
  <si>
    <t>7432</t>
  </si>
  <si>
    <t>Pénalité</t>
  </si>
  <si>
    <t>7433</t>
  </si>
  <si>
    <t>Intérêt moratoire</t>
  </si>
  <si>
    <t>748</t>
  </si>
  <si>
    <t>Taxes diverses</t>
  </si>
  <si>
    <t>7482</t>
  </si>
  <si>
    <t>Droits et taxes diverses : Activités agricoles</t>
  </si>
  <si>
    <t>75</t>
  </si>
  <si>
    <t>CONTRIBUTIONS RECUES DES TIERS</t>
  </si>
  <si>
    <t>751</t>
  </si>
  <si>
    <t>Subvention d'exploitation - Etat</t>
  </si>
  <si>
    <t>7511</t>
  </si>
  <si>
    <t>Dotation globale -EPP</t>
  </si>
  <si>
    <t>7512</t>
  </si>
  <si>
    <t>Dotation globale -CSB</t>
  </si>
  <si>
    <t>7513</t>
  </si>
  <si>
    <t>Dotation globale -Etat civil</t>
  </si>
  <si>
    <t>7518</t>
  </si>
  <si>
    <t>Dotation globale -Autres</t>
  </si>
  <si>
    <t>752</t>
  </si>
  <si>
    <t>Subventions d'exploitation reçcues des Collectivités Publiques</t>
  </si>
  <si>
    <t>7522</t>
  </si>
  <si>
    <t>Collectivités Territoriales Décentralisées</t>
  </si>
  <si>
    <t>7523</t>
  </si>
  <si>
    <t>Etablissements Publics à caractère Industriel et Commercial (EPIC)</t>
  </si>
  <si>
    <t>7524</t>
  </si>
  <si>
    <t>Etablissements Publics à caractère Administratifs (EPA)</t>
  </si>
  <si>
    <t>7528</t>
  </si>
  <si>
    <t>Autres Collectivités Publiques</t>
  </si>
  <si>
    <t>755</t>
  </si>
  <si>
    <t>Organismes privés locaux</t>
  </si>
  <si>
    <t>7550</t>
  </si>
  <si>
    <t>organisme privée locaux</t>
  </si>
  <si>
    <t>76</t>
  </si>
  <si>
    <t>PRODUITS FINANCIERS</t>
  </si>
  <si>
    <t>761</t>
  </si>
  <si>
    <t>Produits des prises de participation</t>
  </si>
  <si>
    <t>7610</t>
  </si>
  <si>
    <t>762</t>
  </si>
  <si>
    <t>Produits des autres immobilisations financières</t>
  </si>
  <si>
    <t>7621</t>
  </si>
  <si>
    <t>Revenus des obligations et bons à plus d'un an</t>
  </si>
  <si>
    <t>7622</t>
  </si>
  <si>
    <t>Revenus des prêts à long et moyen terme</t>
  </si>
  <si>
    <t>763</t>
  </si>
  <si>
    <t>Revenus des autres créances</t>
  </si>
  <si>
    <t>7630</t>
  </si>
  <si>
    <t>764</t>
  </si>
  <si>
    <t>Revenus des titres de placement et des prêts à court terme</t>
  </si>
  <si>
    <t>7641</t>
  </si>
  <si>
    <t>Revenus des obligations et bons à court terme</t>
  </si>
  <si>
    <t>7642</t>
  </si>
  <si>
    <t>Revenus des prêts à court terme</t>
  </si>
  <si>
    <t>768</t>
  </si>
  <si>
    <t>Autres produits financiers</t>
  </si>
  <si>
    <t>7680</t>
  </si>
  <si>
    <t>77</t>
  </si>
  <si>
    <t>RECETTES NON FISCALES</t>
  </si>
  <si>
    <t>771</t>
  </si>
  <si>
    <t>Redevances</t>
  </si>
  <si>
    <t>7711</t>
  </si>
  <si>
    <t>Redevances de collecte et de traitement des ordures ménagères - ROM</t>
  </si>
  <si>
    <t>7712</t>
  </si>
  <si>
    <t>Redevances de rejet des eaux usées - RREU</t>
  </si>
  <si>
    <t>7713</t>
  </si>
  <si>
    <t>Redevance et frais d'administration minière</t>
  </si>
  <si>
    <t>7714</t>
  </si>
  <si>
    <t>Redevances sur autorisations administratives</t>
  </si>
  <si>
    <t>7715</t>
  </si>
  <si>
    <t>Redevance fixe d'abonnement pour branchement</t>
  </si>
  <si>
    <t>7716</t>
  </si>
  <si>
    <t>Redevance versées par les fermiers et concessionnaires</t>
  </si>
  <si>
    <t>7717</t>
  </si>
  <si>
    <t>Produits des ristournes</t>
  </si>
  <si>
    <t>7718</t>
  </si>
  <si>
    <t>Autres redevances locales</t>
  </si>
  <si>
    <t>772</t>
  </si>
  <si>
    <t>Produits des activités des services</t>
  </si>
  <si>
    <t>7721</t>
  </si>
  <si>
    <t>Prestation de service</t>
  </si>
  <si>
    <t>7722</t>
  </si>
  <si>
    <t>Produits finis</t>
  </si>
  <si>
    <t>7723</t>
  </si>
  <si>
    <t>Produits intermédiaires</t>
  </si>
  <si>
    <t>7724</t>
  </si>
  <si>
    <t>Produits résiduels</t>
  </si>
  <si>
    <t>7725</t>
  </si>
  <si>
    <t>Travaux</t>
  </si>
  <si>
    <t>7726</t>
  </si>
  <si>
    <t>Marchandises</t>
  </si>
  <si>
    <t>7727</t>
  </si>
  <si>
    <t>revenus des domaines</t>
  </si>
  <si>
    <t>7728</t>
  </si>
  <si>
    <t>Autres produits des activités des services</t>
  </si>
  <si>
    <t>773</t>
  </si>
  <si>
    <t>Produits des activités annexes et accessoires</t>
  </si>
  <si>
    <t>7731</t>
  </si>
  <si>
    <t>Commissions et courtages</t>
  </si>
  <si>
    <t>7732</t>
  </si>
  <si>
    <t>Locations diverses</t>
  </si>
  <si>
    <t>7733</t>
  </si>
  <si>
    <t>Confiscations</t>
  </si>
  <si>
    <t>7734</t>
  </si>
  <si>
    <t>Droit de fourrières</t>
  </si>
  <si>
    <t>7735</t>
  </si>
  <si>
    <t>Droit de stationnement</t>
  </si>
  <si>
    <t>7738</t>
  </si>
  <si>
    <t>Autres</t>
  </si>
  <si>
    <t>774</t>
  </si>
  <si>
    <t>Production immobilisée</t>
  </si>
  <si>
    <t>7741</t>
  </si>
  <si>
    <t>Immobilisation incorporelle</t>
  </si>
  <si>
    <t>7742</t>
  </si>
  <si>
    <t>Immobilisations corporelle</t>
  </si>
  <si>
    <t>RECETTES D'INVESTISSEMENT</t>
  </si>
  <si>
    <t>10</t>
  </si>
  <si>
    <t>FONDS, DOTATIONS ET RESERVES</t>
  </si>
  <si>
    <t>101</t>
  </si>
  <si>
    <t>Dotations et fonds divers</t>
  </si>
  <si>
    <t>1011</t>
  </si>
  <si>
    <t>Contreparties d'intégrations pratimoniales</t>
  </si>
  <si>
    <t>1012</t>
  </si>
  <si>
    <t>Dotations de l’État</t>
  </si>
  <si>
    <t>1013</t>
  </si>
  <si>
    <t>Dotations : autres collectivités ou organismes publics</t>
  </si>
  <si>
    <t>1014</t>
  </si>
  <si>
    <t>Fonds de travaux électricité</t>
  </si>
  <si>
    <t>1015</t>
  </si>
  <si>
    <t>Fonds de travaux réseau eau</t>
  </si>
  <si>
    <t>1016</t>
  </si>
  <si>
    <t>Dons et legs en capital</t>
  </si>
  <si>
    <t>1017</t>
  </si>
  <si>
    <t>Mises à disposition</t>
  </si>
  <si>
    <t>1018</t>
  </si>
  <si>
    <t>106</t>
  </si>
  <si>
    <t>Réserves</t>
  </si>
  <si>
    <t>1061</t>
  </si>
  <si>
    <t>Réserves des budgets annexes</t>
  </si>
  <si>
    <t>1064</t>
  </si>
  <si>
    <t>Excédent de fonctionnement capitalisé</t>
  </si>
  <si>
    <t>1068</t>
  </si>
  <si>
    <t>Autres réserves</t>
  </si>
  <si>
    <t>13</t>
  </si>
  <si>
    <t>SUBVENTIONS D'EQUIPEMENT</t>
  </si>
  <si>
    <t>131</t>
  </si>
  <si>
    <t>Subventions d'équipement reçues</t>
  </si>
  <si>
    <t>1311</t>
  </si>
  <si>
    <t>Subventions reçues de l'Etat</t>
  </si>
  <si>
    <t>1312</t>
  </si>
  <si>
    <t>Subventions reçues des Collectivités Territoriales Décentralisées</t>
  </si>
  <si>
    <t>1313</t>
  </si>
  <si>
    <t>Subventions reçues des Organismes nationaux et internationaux</t>
  </si>
  <si>
    <t>1314</t>
  </si>
  <si>
    <t>Aides bilatérales</t>
  </si>
  <si>
    <t>1315</t>
  </si>
  <si>
    <t>Aides multilatérales</t>
  </si>
  <si>
    <t>1318</t>
  </si>
  <si>
    <t>Autres subventions d'équipement reçues</t>
  </si>
  <si>
    <t>139</t>
  </si>
  <si>
    <t>Subvention d'investissement transférée au compte de résultat</t>
  </si>
  <si>
    <t>1390</t>
  </si>
  <si>
    <t>14</t>
  </si>
  <si>
    <t>CESSIONS D'IMMOBILISATIONS</t>
  </si>
  <si>
    <t>141</t>
  </si>
  <si>
    <t>Cession d'immobilisations incorporelles</t>
  </si>
  <si>
    <t>1411</t>
  </si>
  <si>
    <t>Frais de développement, de recherche et d'études</t>
  </si>
  <si>
    <t>1415</t>
  </si>
  <si>
    <t>Concessions et droits similaires, brevets, licence, marques</t>
  </si>
  <si>
    <t>1418</t>
  </si>
  <si>
    <t>Autres immobilisations incorporelles</t>
  </si>
  <si>
    <t>142</t>
  </si>
  <si>
    <t>Cession d'immobilisations corporelles</t>
  </si>
  <si>
    <t>1421</t>
  </si>
  <si>
    <t>Terrains</t>
  </si>
  <si>
    <t>1423</t>
  </si>
  <si>
    <t>Bâtiments</t>
  </si>
  <si>
    <t>1424</t>
  </si>
  <si>
    <t>Voies</t>
  </si>
  <si>
    <t>1425</t>
  </si>
  <si>
    <t>Réseaux</t>
  </si>
  <si>
    <t>1426</t>
  </si>
  <si>
    <t>Matériel et ouillage</t>
  </si>
  <si>
    <t>1427</t>
  </si>
  <si>
    <t>Matériels de transport</t>
  </si>
  <si>
    <t>1428</t>
  </si>
  <si>
    <t>Autres immobilisations corporelles</t>
  </si>
  <si>
    <t>147</t>
  </si>
  <si>
    <t>Cession d'immobilisations financières</t>
  </si>
  <si>
    <t>1471</t>
  </si>
  <si>
    <t>Ventes de titres de participations</t>
  </si>
  <si>
    <t>1472</t>
  </si>
  <si>
    <t>Remboursements de prêts accordés à long terme et moyen terme</t>
  </si>
  <si>
    <t>1473</t>
  </si>
  <si>
    <t>Remboursements de prêts accordés à court terme</t>
  </si>
  <si>
    <t>1474</t>
  </si>
  <si>
    <t>Remboursements d'avances accordées</t>
  </si>
  <si>
    <t>1478</t>
  </si>
  <si>
    <t>Autres immobilisations financières</t>
  </si>
  <si>
    <t>16</t>
  </si>
  <si>
    <t>EMPRUNTS ET DETTES ASSIMILEES</t>
  </si>
  <si>
    <t>161</t>
  </si>
  <si>
    <t>Emprunts en Ariary</t>
  </si>
  <si>
    <t>1611</t>
  </si>
  <si>
    <t>Emprunts à long et moyen terme : part à plus d'un an</t>
  </si>
  <si>
    <t>1612</t>
  </si>
  <si>
    <t>Emprunts à long et moyen terme : part à moins d'un an</t>
  </si>
  <si>
    <t>162</t>
  </si>
  <si>
    <t>Emprunts en devises</t>
  </si>
  <si>
    <t>1621</t>
  </si>
  <si>
    <t>1622</t>
  </si>
  <si>
    <t>165</t>
  </si>
  <si>
    <t>Dépôts et cautionnement reçus</t>
  </si>
  <si>
    <t>1650</t>
  </si>
  <si>
    <t>167</t>
  </si>
  <si>
    <t>Dettes sur contrat de location-financement</t>
  </si>
  <si>
    <t>1670</t>
  </si>
  <si>
    <t>168</t>
  </si>
  <si>
    <t>Autres emprunts et dettes assimilés</t>
  </si>
  <si>
    <t>1680</t>
  </si>
  <si>
    <t>1688</t>
  </si>
  <si>
    <t>Intérêts courus sur emprunts et dettes assimilés</t>
  </si>
  <si>
    <t>TABLEAU DETAILLE DES DEPENSES</t>
  </si>
  <si>
    <t>DÉPENSES DE FONCTIONNEMENT</t>
  </si>
  <si>
    <t>ENGAGEMENT</t>
  </si>
  <si>
    <t>MANDAT ADMIS</t>
  </si>
  <si>
    <t>PAIEMENT</t>
  </si>
  <si>
    <t>RESTE A PAYER</t>
  </si>
  <si>
    <t>60</t>
  </si>
  <si>
    <t>CHARGES DE PERSONNEL</t>
  </si>
  <si>
    <t>601</t>
  </si>
  <si>
    <t>Salaires et accessoires</t>
  </si>
  <si>
    <t>6011</t>
  </si>
  <si>
    <t>Personnel permanent</t>
  </si>
  <si>
    <t>6012</t>
  </si>
  <si>
    <t>Personnel non permanent</t>
  </si>
  <si>
    <t>602</t>
  </si>
  <si>
    <t>Indemnités liées à la solde</t>
  </si>
  <si>
    <t>6021</t>
  </si>
  <si>
    <t>6022</t>
  </si>
  <si>
    <t>603</t>
  </si>
  <si>
    <t>Indemnités et avantages liés à la fonction</t>
  </si>
  <si>
    <t>6031</t>
  </si>
  <si>
    <t>6032</t>
  </si>
  <si>
    <t>604</t>
  </si>
  <si>
    <t>Supplément familial de traitement</t>
  </si>
  <si>
    <t>6041</t>
  </si>
  <si>
    <t>6042</t>
  </si>
  <si>
    <t>606</t>
  </si>
  <si>
    <t>Charges sociales patronales</t>
  </si>
  <si>
    <t>6061</t>
  </si>
  <si>
    <t>Cotisations à la CNAPS</t>
  </si>
  <si>
    <t>6062</t>
  </si>
  <si>
    <t>Cotisations caisse de retraites civiles et militaires</t>
  </si>
  <si>
    <t>6063</t>
  </si>
  <si>
    <t>CPR</t>
  </si>
  <si>
    <t>6064</t>
  </si>
  <si>
    <t>Cotisations aux OSIE</t>
  </si>
  <si>
    <t>6068</t>
  </si>
  <si>
    <t>Autres charges sociales patronales</t>
  </si>
  <si>
    <t>61</t>
  </si>
  <si>
    <t>ACHATS DE BIENS</t>
  </si>
  <si>
    <t>611</t>
  </si>
  <si>
    <t>Achats de biens de fonctionnement général</t>
  </si>
  <si>
    <t>6111</t>
  </si>
  <si>
    <t>Fournitures et articles de bureau</t>
  </si>
  <si>
    <t>6112</t>
  </si>
  <si>
    <t>Imprimés, cachets et docuements administratifs</t>
  </si>
  <si>
    <t>6113</t>
  </si>
  <si>
    <t>Consomptibles informatiques</t>
  </si>
  <si>
    <t>6114</t>
  </si>
  <si>
    <t>Produits, petits matériels et menues dépenses d'entretien</t>
  </si>
  <si>
    <t>6115</t>
  </si>
  <si>
    <t>Petits outillages et fournitures d'atelier</t>
  </si>
  <si>
    <t>6116</t>
  </si>
  <si>
    <t>Instruments spécialisés</t>
  </si>
  <si>
    <t>6117</t>
  </si>
  <si>
    <t>Habillement</t>
  </si>
  <si>
    <t>612</t>
  </si>
  <si>
    <t>Achats de biens à usage spécifique</t>
  </si>
  <si>
    <t>6121</t>
  </si>
  <si>
    <t>Fornitures scolaires</t>
  </si>
  <si>
    <t>6122</t>
  </si>
  <si>
    <t>Consommables médicaux</t>
  </si>
  <si>
    <t>6123</t>
  </si>
  <si>
    <t>Produits pahrmaceutiques</t>
  </si>
  <si>
    <t>6124</t>
  </si>
  <si>
    <t>Produits vétérianaires</t>
  </si>
  <si>
    <t>6125</t>
  </si>
  <si>
    <t>Produits alimentaires</t>
  </si>
  <si>
    <t>6126</t>
  </si>
  <si>
    <t>Intrants agricoles</t>
  </si>
  <si>
    <t>6127</t>
  </si>
  <si>
    <t>Fournitures sportives</t>
  </si>
  <si>
    <t>6128</t>
  </si>
  <si>
    <t>Fournitures ménagères</t>
  </si>
  <si>
    <t>613</t>
  </si>
  <si>
    <t>Carburants, Lubrifiants et combustibles</t>
  </si>
  <si>
    <t>6131</t>
  </si>
  <si>
    <t>Carburants et Lubrifiants</t>
  </si>
  <si>
    <t>6132</t>
  </si>
  <si>
    <t>Gaz</t>
  </si>
  <si>
    <t>6138</t>
  </si>
  <si>
    <t>Autres combustibles</t>
  </si>
  <si>
    <t>616</t>
  </si>
  <si>
    <t>Variation de stocks</t>
  </si>
  <si>
    <t>6161</t>
  </si>
  <si>
    <t>Variation des stocks de biens de fonctionnement général</t>
  </si>
  <si>
    <t>6162</t>
  </si>
  <si>
    <t>Variation des stoccks de biens à usage spécifique</t>
  </si>
  <si>
    <t>6163</t>
  </si>
  <si>
    <t>Variation des stocks de carburants, Lubrifiants et combustibles</t>
  </si>
  <si>
    <t>6168</t>
  </si>
  <si>
    <t>Variation des staock d'autres achats</t>
  </si>
  <si>
    <t>618</t>
  </si>
  <si>
    <t>Autres achats</t>
  </si>
  <si>
    <t>6181</t>
  </si>
  <si>
    <t>Achats de matières premières</t>
  </si>
  <si>
    <t>6182</t>
  </si>
  <si>
    <t>Achats de marchandises destinées à être revendues</t>
  </si>
  <si>
    <t>6183</t>
  </si>
  <si>
    <t>Emballages</t>
  </si>
  <si>
    <t>62</t>
  </si>
  <si>
    <t>ACHATS DE SERVICES ET CHARGES PERMANENTES</t>
  </si>
  <si>
    <t>621</t>
  </si>
  <si>
    <t>Entretien et maintenance</t>
  </si>
  <si>
    <t>6211</t>
  </si>
  <si>
    <t>Entretien de bâtiments</t>
  </si>
  <si>
    <t>6212</t>
  </si>
  <si>
    <t>Entretien des autres infrastructures</t>
  </si>
  <si>
    <t>6213</t>
  </si>
  <si>
    <t>Entretien de véhicules</t>
  </si>
  <si>
    <t>6214</t>
  </si>
  <si>
    <t>Entretien de matériels techniques</t>
  </si>
  <si>
    <t>6215</t>
  </si>
  <si>
    <t>Entretien et réparation des matériels et mobiliers de bureau</t>
  </si>
  <si>
    <t>6216</t>
  </si>
  <si>
    <t>Entretien et réparation des matériels et mobiliers de logement</t>
  </si>
  <si>
    <t>6217</t>
  </si>
  <si>
    <t>Entretien et réparation des matériels et mobiliers scolaires</t>
  </si>
  <si>
    <t>6218</t>
  </si>
  <si>
    <t>Maintenance du matériel informatique</t>
  </si>
  <si>
    <t>622</t>
  </si>
  <si>
    <t>Charges de représentation, d'information, de documentation et d'encadrement</t>
  </si>
  <si>
    <t>6221</t>
  </si>
  <si>
    <t>Fêtes et cérémonies officielles</t>
  </si>
  <si>
    <t>6222</t>
  </si>
  <si>
    <t>Charges de représentation : visites officielles</t>
  </si>
  <si>
    <t>6223</t>
  </si>
  <si>
    <t>Docuementation et abonnement</t>
  </si>
  <si>
    <t>6224</t>
  </si>
  <si>
    <t>Impression, reliures, insertions, publicité et promotion</t>
  </si>
  <si>
    <t>6225</t>
  </si>
  <si>
    <t>Frais de Colloques, séminaires, conférences</t>
  </si>
  <si>
    <t>6226</t>
  </si>
  <si>
    <t>Foires, exposition</t>
  </si>
  <si>
    <t>623</t>
  </si>
  <si>
    <t>Charges de transport</t>
  </si>
  <si>
    <t>6231</t>
  </si>
  <si>
    <t>Frais de déplacement intérieur</t>
  </si>
  <si>
    <t>6232</t>
  </si>
  <si>
    <t>Frais de déplacement extérieur</t>
  </si>
  <si>
    <t>6233</t>
  </si>
  <si>
    <t>Locations de voitures</t>
  </si>
  <si>
    <t>6234</t>
  </si>
  <si>
    <t>Transport administratif</t>
  </si>
  <si>
    <t>6235</t>
  </si>
  <si>
    <t>Transport de bien</t>
  </si>
  <si>
    <t>624</t>
  </si>
  <si>
    <t>Indemnités de mission</t>
  </si>
  <si>
    <t>6241</t>
  </si>
  <si>
    <t>Indemnité de mission intérieure</t>
  </si>
  <si>
    <t>6242</t>
  </si>
  <si>
    <t>Indemnité de mission extérieure</t>
  </si>
  <si>
    <t>6243</t>
  </si>
  <si>
    <t>Viatique</t>
  </si>
  <si>
    <t>625</t>
  </si>
  <si>
    <t>Eau et éléctricité</t>
  </si>
  <si>
    <t>6250</t>
  </si>
  <si>
    <t>Eau et électricité</t>
  </si>
  <si>
    <t>626</t>
  </si>
  <si>
    <t>Poste et télécommunications</t>
  </si>
  <si>
    <t>6261</t>
  </si>
  <si>
    <t>Frais postaux</t>
  </si>
  <si>
    <t>6262</t>
  </si>
  <si>
    <t>Redevances téléphoniques</t>
  </si>
  <si>
    <t>6263</t>
  </si>
  <si>
    <t>Redevances téléphoniques mobiles</t>
  </si>
  <si>
    <t>6264</t>
  </si>
  <si>
    <t>Internet</t>
  </si>
  <si>
    <t>6265</t>
  </si>
  <si>
    <t>Télex</t>
  </si>
  <si>
    <t>6268</t>
  </si>
  <si>
    <t>627</t>
  </si>
  <si>
    <t>Charges locatives</t>
  </si>
  <si>
    <t>6271</t>
  </si>
  <si>
    <t>Location d'immeuble de bureau</t>
  </si>
  <si>
    <t>6272</t>
  </si>
  <si>
    <t>Location d'immeuble de logement</t>
  </si>
  <si>
    <t>6273</t>
  </si>
  <si>
    <t>Location d'immeuble de bureau-loggement</t>
  </si>
  <si>
    <t>6274</t>
  </si>
  <si>
    <t>Location de terrain</t>
  </si>
  <si>
    <t>6275</t>
  </si>
  <si>
    <t>Location de matériels</t>
  </si>
  <si>
    <t>6278</t>
  </si>
  <si>
    <t>Autres charges locatives</t>
  </si>
  <si>
    <t>628</t>
  </si>
  <si>
    <t>Services divers</t>
  </si>
  <si>
    <t>6281</t>
  </si>
  <si>
    <t>Rémunérations d'intermédiaires et honoraires</t>
  </si>
  <si>
    <t>6282</t>
  </si>
  <si>
    <t>Frais d'études et de recherche</t>
  </si>
  <si>
    <t>6283</t>
  </si>
  <si>
    <t>Frais de stage et de formation</t>
  </si>
  <si>
    <t>6284</t>
  </si>
  <si>
    <t>Assurances</t>
  </si>
  <si>
    <t>6285</t>
  </si>
  <si>
    <t>Services banciares et assimilés</t>
  </si>
  <si>
    <t>6286</t>
  </si>
  <si>
    <t>Cotisations et divers</t>
  </si>
  <si>
    <t>6287</t>
  </si>
  <si>
    <t>Personnels extérieurs au service</t>
  </si>
  <si>
    <t>6288</t>
  </si>
  <si>
    <t>Contrat de prestation de service</t>
  </si>
  <si>
    <t>63</t>
  </si>
  <si>
    <t>DEPENSES D'INTERVENTION</t>
  </si>
  <si>
    <t>631</t>
  </si>
  <si>
    <t>Intervention sociale</t>
  </si>
  <si>
    <t>6310</t>
  </si>
  <si>
    <t>632</t>
  </si>
  <si>
    <t>Intervention économique</t>
  </si>
  <si>
    <t>6320</t>
  </si>
  <si>
    <t>633</t>
  </si>
  <si>
    <t>Intervention structurelle</t>
  </si>
  <si>
    <t>6330</t>
  </si>
  <si>
    <t>638</t>
  </si>
  <si>
    <t>Dépenses d'intervention diverses et imprévues</t>
  </si>
  <si>
    <t>6380</t>
  </si>
  <si>
    <t>64</t>
  </si>
  <si>
    <t>IMPOTS ET TAXES</t>
  </si>
  <si>
    <t>641</t>
  </si>
  <si>
    <t>Taxes et impôts directs</t>
  </si>
  <si>
    <t>6418</t>
  </si>
  <si>
    <t>Autres taxes et impôts directs</t>
  </si>
  <si>
    <t>642</t>
  </si>
  <si>
    <t>Taxes et impôts indirects</t>
  </si>
  <si>
    <t>6420</t>
  </si>
  <si>
    <t>643</t>
  </si>
  <si>
    <t>Impôts, taxes et droits d'enregistrement</t>
  </si>
  <si>
    <t>6430</t>
  </si>
  <si>
    <t>644</t>
  </si>
  <si>
    <t>Droits à l'importation</t>
  </si>
  <si>
    <t>6440</t>
  </si>
  <si>
    <t>648</t>
  </si>
  <si>
    <t>Impôts, taxes et droits divers</t>
  </si>
  <si>
    <t>6480</t>
  </si>
  <si>
    <t>65</t>
  </si>
  <si>
    <t>TRANSFERTS ET SUBVENTIONS</t>
  </si>
  <si>
    <t>651</t>
  </si>
  <si>
    <t>Transferts aux collectivités publiques</t>
  </si>
  <si>
    <t>6510</t>
  </si>
  <si>
    <t>653</t>
  </si>
  <si>
    <t>Bourses</t>
  </si>
  <si>
    <t>6531</t>
  </si>
  <si>
    <t>Bourses à Madagascar</t>
  </si>
  <si>
    <t>6532</t>
  </si>
  <si>
    <t>Bourses à l'extérieur</t>
  </si>
  <si>
    <t>6533</t>
  </si>
  <si>
    <t>Présalaire, Prêt d'honneur</t>
  </si>
  <si>
    <t>6534</t>
  </si>
  <si>
    <t>Prix et récompenses officiels</t>
  </si>
  <si>
    <t>654</t>
  </si>
  <si>
    <t>Contributions obligatoires</t>
  </si>
  <si>
    <t>6540</t>
  </si>
  <si>
    <t>655</t>
  </si>
  <si>
    <t>Transferts aux organismes publics</t>
  </si>
  <si>
    <t>6550</t>
  </si>
  <si>
    <t>656</t>
  </si>
  <si>
    <t>Transferts aux privés</t>
  </si>
  <si>
    <t>6561</t>
  </si>
  <si>
    <t>Hospitalisation, traitement et soins</t>
  </si>
  <si>
    <t>6562</t>
  </si>
  <si>
    <t>Secours</t>
  </si>
  <si>
    <t>6563</t>
  </si>
  <si>
    <t>Indemnisation</t>
  </si>
  <si>
    <t>6564</t>
  </si>
  <si>
    <t>Régularisation des droits acquis</t>
  </si>
  <si>
    <t>6565</t>
  </si>
  <si>
    <t>Subvention au secteur privé</t>
  </si>
  <si>
    <t>66</t>
  </si>
  <si>
    <t>CHARGES FINANCIERES</t>
  </si>
  <si>
    <t>661</t>
  </si>
  <si>
    <t>Charges d'intérêt</t>
  </si>
  <si>
    <t>6611</t>
  </si>
  <si>
    <t>Intérêts des emprunts</t>
  </si>
  <si>
    <t>6618</t>
  </si>
  <si>
    <t>Autres charges d'intérêt</t>
  </si>
  <si>
    <t>662</t>
  </si>
  <si>
    <t>Intérêts banciares et opérations de financements à court terme</t>
  </si>
  <si>
    <t>6621</t>
  </si>
  <si>
    <t>6622</t>
  </si>
  <si>
    <t>Intérêts des opérations de financements à court terme</t>
  </si>
  <si>
    <t>663</t>
  </si>
  <si>
    <t>Intérêts des comptes courants et des dépôts créditeurs</t>
  </si>
  <si>
    <t>6631</t>
  </si>
  <si>
    <t>Intérêts des comptes courants</t>
  </si>
  <si>
    <t>6632</t>
  </si>
  <si>
    <t>Intérêts des dépôts créditerus</t>
  </si>
  <si>
    <t>666</t>
  </si>
  <si>
    <t>Différences de change : pertes</t>
  </si>
  <si>
    <t>6660</t>
  </si>
  <si>
    <t>Pertes de changes</t>
  </si>
  <si>
    <t>668</t>
  </si>
  <si>
    <t>Autres charges financières</t>
  </si>
  <si>
    <t>6681</t>
  </si>
  <si>
    <t>Intérêts des autres dettes</t>
  </si>
  <si>
    <t>6688</t>
  </si>
  <si>
    <t>67</t>
  </si>
  <si>
    <t>CHARGES DIVERSES</t>
  </si>
  <si>
    <t>671</t>
  </si>
  <si>
    <t>Remise gracieuse, dégrèvement et perte sur titre émis</t>
  </si>
  <si>
    <t>6711</t>
  </si>
  <si>
    <t>Remises gracieuses</t>
  </si>
  <si>
    <t>6712</t>
  </si>
  <si>
    <t>Dégrèvement sur titres émis</t>
  </si>
  <si>
    <t>6713</t>
  </si>
  <si>
    <t>Pertes sur créances irrecouvrables</t>
  </si>
  <si>
    <t>6714</t>
  </si>
  <si>
    <t>Perte sur dons extérieurs</t>
  </si>
  <si>
    <t>6718</t>
  </si>
  <si>
    <t>672</t>
  </si>
  <si>
    <t>Reversement sur trop peçu</t>
  </si>
  <si>
    <t>6720</t>
  </si>
  <si>
    <t>Reversement sur trop perçu</t>
  </si>
  <si>
    <t>673</t>
  </si>
  <si>
    <t>Déficits budgets annexes</t>
  </si>
  <si>
    <t>6730</t>
  </si>
  <si>
    <t>674</t>
  </si>
  <si>
    <t>Frais de justice et de contentieux</t>
  </si>
  <si>
    <t>6741</t>
  </si>
  <si>
    <t>Frais de justice</t>
  </si>
  <si>
    <t>6742</t>
  </si>
  <si>
    <t>Frais de contentieux</t>
  </si>
  <si>
    <t>675</t>
  </si>
  <si>
    <t>Intérêts moratoires, Amendes et Pénalités</t>
  </si>
  <si>
    <t>6751</t>
  </si>
  <si>
    <t>6752</t>
  </si>
  <si>
    <t>Amendes</t>
  </si>
  <si>
    <t>6753</t>
  </si>
  <si>
    <t>Pénalités</t>
  </si>
  <si>
    <t>678</t>
  </si>
  <si>
    <t>Autres charges diverses</t>
  </si>
  <si>
    <t>6781</t>
  </si>
  <si>
    <t>Moins-values sur cessions d'immobilisations</t>
  </si>
  <si>
    <t>6782</t>
  </si>
  <si>
    <t>Quotes-part de résultat sur opérations faites en commun</t>
  </si>
  <si>
    <t>6788</t>
  </si>
  <si>
    <t>DÉPENSES D'INVESTISSEMENT</t>
  </si>
  <si>
    <t>20</t>
  </si>
  <si>
    <t>IMMOBILISATION INCORPORELLES</t>
  </si>
  <si>
    <t>201</t>
  </si>
  <si>
    <t>2011</t>
  </si>
  <si>
    <t>Formation</t>
  </si>
  <si>
    <t>2012</t>
  </si>
  <si>
    <t>Animation et encadrement</t>
  </si>
  <si>
    <t>2013</t>
  </si>
  <si>
    <t>Assistance technique</t>
  </si>
  <si>
    <t>2014</t>
  </si>
  <si>
    <t>Logiciels informatiques et assimilés</t>
  </si>
  <si>
    <t>2015</t>
  </si>
  <si>
    <t>Etudes et recherches</t>
  </si>
  <si>
    <t>2016</t>
  </si>
  <si>
    <t>Suivi - Contrôle - Evaluations</t>
  </si>
  <si>
    <t>2017</t>
  </si>
  <si>
    <t>Frais de pré-exploitation</t>
  </si>
  <si>
    <t>2018</t>
  </si>
  <si>
    <t>205</t>
  </si>
  <si>
    <t>Concessions et droits similaires, brevets, licences, marques</t>
  </si>
  <si>
    <t>2051</t>
  </si>
  <si>
    <t>Concessions et droits similaires</t>
  </si>
  <si>
    <t>2052</t>
  </si>
  <si>
    <t>Brevets, licences, marques</t>
  </si>
  <si>
    <t>208</t>
  </si>
  <si>
    <t>Autres immoblisations incorporelles</t>
  </si>
  <si>
    <t>2080</t>
  </si>
  <si>
    <t>21</t>
  </si>
  <si>
    <t>IMMOBILISATION CORPORELLES</t>
  </si>
  <si>
    <t>211</t>
  </si>
  <si>
    <t>2111</t>
  </si>
  <si>
    <t>Terrains nus</t>
  </si>
  <si>
    <t>2112</t>
  </si>
  <si>
    <t>Terrains bâtis</t>
  </si>
  <si>
    <t>2113</t>
  </si>
  <si>
    <t>Terrains de gisement</t>
  </si>
  <si>
    <t>2114</t>
  </si>
  <si>
    <t>Terrains de chantiers</t>
  </si>
  <si>
    <t>2115</t>
  </si>
  <si>
    <t>Terrains de voiries</t>
  </si>
  <si>
    <t>2116</t>
  </si>
  <si>
    <t>Cimetières</t>
  </si>
  <si>
    <t>2117</t>
  </si>
  <si>
    <t>Bois et forêts</t>
  </si>
  <si>
    <t>2118</t>
  </si>
  <si>
    <t>212</t>
  </si>
  <si>
    <t>Aménagement</t>
  </si>
  <si>
    <t>2121</t>
  </si>
  <si>
    <t>Aménagement de terrain</t>
  </si>
  <si>
    <t>2122</t>
  </si>
  <si>
    <t>Aménagement des aérodromes</t>
  </si>
  <si>
    <t>2123</t>
  </si>
  <si>
    <t>Aménagement des ports</t>
  </si>
  <si>
    <t>2124</t>
  </si>
  <si>
    <t>Travaux d'irrigation</t>
  </si>
  <si>
    <t>2125</t>
  </si>
  <si>
    <t>Travaus d'urbanisme</t>
  </si>
  <si>
    <t>2128</t>
  </si>
  <si>
    <t>Autres aménagements</t>
  </si>
  <si>
    <t>213</t>
  </si>
  <si>
    <t>Construction ou Réhabilitation : Bâtiments</t>
  </si>
  <si>
    <t>2131</t>
  </si>
  <si>
    <t>Batiments administratifs</t>
  </si>
  <si>
    <t>2132</t>
  </si>
  <si>
    <t>Bâtiments scolaires</t>
  </si>
  <si>
    <t>2133</t>
  </si>
  <si>
    <t>Batiments de cnetres de soins de santé</t>
  </si>
  <si>
    <t>2134</t>
  </si>
  <si>
    <t>Autres bâtiments techniques</t>
  </si>
  <si>
    <t>2137</t>
  </si>
  <si>
    <t>Installations, agencemetns et aménagements - Bâtiments</t>
  </si>
  <si>
    <t>2138</t>
  </si>
  <si>
    <t>Autres constructions ou réhabilitations - Bâtiments</t>
  </si>
  <si>
    <t>214</t>
  </si>
  <si>
    <t>Construction ou Réhabilitation : Voies</t>
  </si>
  <si>
    <t>2141</t>
  </si>
  <si>
    <t>Routes</t>
  </si>
  <si>
    <t>2142</t>
  </si>
  <si>
    <t>Voies ferrées</t>
  </si>
  <si>
    <t>2143</t>
  </si>
  <si>
    <t>Voies d'eau</t>
  </si>
  <si>
    <t>2144</t>
  </si>
  <si>
    <t>Pistes d'aérodrome</t>
  </si>
  <si>
    <t>2147</t>
  </si>
  <si>
    <t>Installations, agencements et aménagements - Voies</t>
  </si>
  <si>
    <t>2148</t>
  </si>
  <si>
    <t>Autres constructions ou réhabilitations - Voies</t>
  </si>
  <si>
    <t>215</t>
  </si>
  <si>
    <t>Construction ou Réhabilitation : Réseaux</t>
  </si>
  <si>
    <t>2151</t>
  </si>
  <si>
    <t>Réseau d'aduction d'eau</t>
  </si>
  <si>
    <t>2152</t>
  </si>
  <si>
    <t>Réseau d'assainissement</t>
  </si>
  <si>
    <t>2153</t>
  </si>
  <si>
    <t>Réseau téléphonique</t>
  </si>
  <si>
    <t>2154</t>
  </si>
  <si>
    <t>Réseau de communication</t>
  </si>
  <si>
    <t>2155</t>
  </si>
  <si>
    <t>Réseau d'électricité</t>
  </si>
  <si>
    <t>2156</t>
  </si>
  <si>
    <t>Réseau d'irrigation</t>
  </si>
  <si>
    <t>2157</t>
  </si>
  <si>
    <t>Installations, agencements et aménagements - Réseaux</t>
  </si>
  <si>
    <t>2158</t>
  </si>
  <si>
    <t>Autres constructions ou réhabilitations - Réseaux</t>
  </si>
  <si>
    <t>216</t>
  </si>
  <si>
    <t>Matériels et outillages</t>
  </si>
  <si>
    <t>2161</t>
  </si>
  <si>
    <t>Matériels techniques</t>
  </si>
  <si>
    <t>2162</t>
  </si>
  <si>
    <t>Matériels agricoles</t>
  </si>
  <si>
    <t>2163</t>
  </si>
  <si>
    <t>Matériels informatiques</t>
  </si>
  <si>
    <t>2164</t>
  </si>
  <si>
    <t>Matériels et mobiliers de bureau</t>
  </si>
  <si>
    <t>2165</t>
  </si>
  <si>
    <t>Matériels et mobiliers de logement</t>
  </si>
  <si>
    <t>2166</t>
  </si>
  <si>
    <t>Matériels et mobiliers scolaires</t>
  </si>
  <si>
    <t>2167</t>
  </si>
  <si>
    <t>Outillages</t>
  </si>
  <si>
    <t>2168</t>
  </si>
  <si>
    <t>Autres matériels et outillages</t>
  </si>
  <si>
    <t>217</t>
  </si>
  <si>
    <t>Matériels de transoport</t>
  </si>
  <si>
    <t>2171</t>
  </si>
  <si>
    <t>Renouvellement des vehicules du parc administratif</t>
  </si>
  <si>
    <t>2172</t>
  </si>
  <si>
    <t>Matériel automobile</t>
  </si>
  <si>
    <t>2173</t>
  </si>
  <si>
    <t>Matériel fluvial</t>
  </si>
  <si>
    <t>2174</t>
  </si>
  <si>
    <t>Matériel ferroviaire</t>
  </si>
  <si>
    <t>2175</t>
  </si>
  <si>
    <t>Matériel naval</t>
  </si>
  <si>
    <t>2176</t>
  </si>
  <si>
    <t>Matériel aérien</t>
  </si>
  <si>
    <t>2178</t>
  </si>
  <si>
    <t>Autres moyens de locomotion</t>
  </si>
  <si>
    <t>218</t>
  </si>
  <si>
    <t>2181</t>
  </si>
  <si>
    <t>Cheptel</t>
  </si>
  <si>
    <t>2182</t>
  </si>
  <si>
    <t>Emballages récupérables</t>
  </si>
  <si>
    <t>2183</t>
  </si>
  <si>
    <t>Installations complexes spécialisées</t>
  </si>
  <si>
    <t>2188</t>
  </si>
  <si>
    <t>TABLEAU D'ÉQUILIBRE BUDGÉTAIRE</t>
  </si>
  <si>
    <t>COLLECTIVITE : Commune Test (COM-TEST) - ANNÉE 2024</t>
  </si>
  <si>
    <t>SECTION FONCTIONNEMENT</t>
  </si>
  <si>
    <t>Total Recettes</t>
  </si>
  <si>
    <t>Total Dépenses</t>
  </si>
  <si>
    <t>SOLDE FONCTIONNEMENT</t>
  </si>
  <si>
    <t>SECTION INVESTISSEMENT</t>
  </si>
  <si>
    <t>SOLDE INVESTISSEMENT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</si>
</sst>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2"/>
    </font>
    <font/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4472C4"/>
      </patternFill>
    </fill>
    <fill>
      <patternFill patternType="solid">
        <fgColor rgb="FF9966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0" fillId="0" borderId="1" xfId="0" applyBorder="1"/>
    <xf numFmtId="0" fontId="2" fillId="0" borderId="1" xfId="0" applyFont="1" applyBorder="1" applyAlignment="1"/>
    <xf numFmtId="4" fontId="0" fillId="0" borderId="1" xfId="0" applyNumberFormat="1" applyBorder="1"/>
    <xf numFmtId="10" fontId="0" fillId="0" borderId="1" xfId="0" applyNumberFormat="1" applyBorder="1"/>
    <xf numFmtId="0" fontId="4" fillId="0" borderId="1" xfId="0" applyFont="1" applyBorder="1"/>
    <xf numFmtId="0" fontId="4" fillId="0" borderId="1" xfId="0" applyFont="1" applyBorder="1" applyAlignment="1">
      <alignment indent="1"/>
    </xf>
    <xf numFmtId="0" fontId="4" fillId="0" borderId="1" xfId="0" applyFont="1" applyBorder="1" applyAlignment="1">
      <alignment indent="2"/>
    </xf>
    <xf numFmtId="0" fontId="5" fillId="3" borderId="0" xfId="0" applyFont="1" applyFill="1"/>
    <xf numFmtId="4" fontId="0" fillId="0" borderId="0" xfId="0" applyNumberFormat="1"/>
    <xf numFmtId="4" fontId="2" fillId="0" borderId="0" xfId="0" applyNumberFormat="1" applyFont="1"/>
    <xf numFmtId="0" fontId="5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62"/>
  <sheetFormatPr defaultRowHeight="15" outlineLevelRow="0" outlineLevelCol="0" x14ac:dyDescent="55"/>
  <cols>
    <col min="2" max="4" width="12" customWidth="1"/>
    <col min="5" max="5" width="50" customWidth="1"/>
    <col min="6" max="13" width="15" customWidth="1"/>
  </cols>
  <sheetData>
    <row r="2" spans="2:13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4" spans="5:8" x14ac:dyDescent="0.25">
      <c r="E4" s="2" t="s">
        <v>1</v>
      </c>
      <c r="F4" s="2"/>
      <c r="G4" s="2"/>
      <c r="H4" s="2"/>
    </row>
    <row r="6" spans="2:13" x14ac:dyDescent="0.25">
      <c r="B6" s="3" t="s">
        <v>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2:13" x14ac:dyDescent="0.25">
      <c r="B7" s="4" t="s">
        <v>3</v>
      </c>
      <c r="E7" s="4" t="s">
        <v>4</v>
      </c>
      <c r="F7" s="4" t="s">
        <v>5</v>
      </c>
      <c r="G7" s="4" t="s">
        <v>6</v>
      </c>
      <c r="H7" s="4" t="s">
        <v>7</v>
      </c>
      <c r="I7" s="4" t="s">
        <v>8</v>
      </c>
      <c r="J7" s="4" t="s">
        <v>9</v>
      </c>
      <c r="K7" s="4" t="s">
        <v>10</v>
      </c>
      <c r="L7" s="4" t="s">
        <v>11</v>
      </c>
      <c r="M7" s="4" t="s">
        <v>12</v>
      </c>
    </row>
    <row r="8" spans="2:13" x14ac:dyDescent="0.25">
      <c r="B8" s="5" t="s">
        <v>13</v>
      </c>
      <c r="C8" s="6"/>
      <c r="D8" s="6"/>
      <c r="E8" s="7" t="s">
        <v>14</v>
      </c>
      <c r="F8" s="8">
        <v>5000000</v>
      </c>
      <c r="G8" s="8">
        <v>200000</v>
      </c>
      <c r="H8" s="8">
        <v>-50000</v>
      </c>
      <c r="I8" s="8">
        <f>F8+G8+H8</f>
      </c>
      <c r="J8" s="8">
        <v>4800000</v>
      </c>
      <c r="K8" s="8">
        <v>4500000</v>
      </c>
      <c r="L8" s="8">
        <f>J8-K8</f>
      </c>
      <c r="M8" s="9">
        <f>IF(I8=0,0,J8/I8)</f>
      </c>
    </row>
    <row r="9" spans="2:13" x14ac:dyDescent="0.25">
      <c r="B9" s="6"/>
      <c r="C9" s="10" t="s">
        <v>15</v>
      </c>
      <c r="D9" s="6"/>
      <c r="E9" s="11" t="s">
        <v>16</v>
      </c>
      <c r="F9" s="6"/>
      <c r="G9" s="6"/>
      <c r="H9" s="6"/>
      <c r="I9" s="6"/>
      <c r="J9" s="6"/>
      <c r="K9" s="6"/>
      <c r="L9" s="6"/>
      <c r="M9" s="6"/>
    </row>
    <row r="10" spans="2:13" x14ac:dyDescent="0.25">
      <c r="B10" s="6"/>
      <c r="C10" s="6"/>
      <c r="D10" s="10" t="s">
        <v>17</v>
      </c>
      <c r="E10" s="12" t="s">
        <v>18</v>
      </c>
      <c r="F10" s="6"/>
      <c r="G10" s="6"/>
      <c r="H10" s="6"/>
      <c r="I10" s="6"/>
      <c r="J10" s="6"/>
      <c r="K10" s="6"/>
      <c r="L10" s="6"/>
      <c r="M10" s="6"/>
    </row>
    <row r="11" spans="2:13" x14ac:dyDescent="0.25">
      <c r="B11" s="5" t="s">
        <v>19</v>
      </c>
      <c r="C11" s="6"/>
      <c r="D11" s="6"/>
      <c r="E11" s="7" t="s">
        <v>20</v>
      </c>
      <c r="F11" s="8">
        <v>12000000</v>
      </c>
      <c r="G11" s="8">
        <v>500000</v>
      </c>
      <c r="H11" s="8">
        <v>100000</v>
      </c>
      <c r="I11" s="8">
        <f>F11+G11+H11</f>
      </c>
      <c r="J11" s="8">
        <v>12200000</v>
      </c>
      <c r="K11" s="8">
        <v>11800000</v>
      </c>
      <c r="L11" s="8">
        <f>J11-K11</f>
      </c>
      <c r="M11" s="9">
        <f>IF(I11=0,0,J11/I11)</f>
      </c>
    </row>
    <row r="12" spans="2:13" x14ac:dyDescent="0.25">
      <c r="B12" s="6"/>
      <c r="C12" s="10" t="s">
        <v>21</v>
      </c>
      <c r="D12" s="6"/>
      <c r="E12" s="11" t="s">
        <v>22</v>
      </c>
      <c r="F12" s="6"/>
      <c r="G12" s="6"/>
      <c r="H12" s="6"/>
      <c r="I12" s="6"/>
      <c r="J12" s="6"/>
      <c r="K12" s="6"/>
      <c r="L12" s="6"/>
      <c r="M12" s="6"/>
    </row>
    <row r="13" spans="2:13" x14ac:dyDescent="0.25">
      <c r="B13" s="6"/>
      <c r="C13" s="6"/>
      <c r="D13" s="10" t="s">
        <v>23</v>
      </c>
      <c r="E13" s="12" t="s">
        <v>22</v>
      </c>
      <c r="F13" s="6"/>
      <c r="G13" s="6"/>
      <c r="H13" s="6"/>
      <c r="I13" s="6"/>
      <c r="J13" s="6"/>
      <c r="K13" s="6"/>
      <c r="L13" s="6"/>
      <c r="M13" s="6"/>
    </row>
    <row r="14" spans="2:13" x14ac:dyDescent="0.25">
      <c r="B14" s="6"/>
      <c r="C14" s="10" t="s">
        <v>24</v>
      </c>
      <c r="D14" s="6"/>
      <c r="E14" s="11" t="s">
        <v>25</v>
      </c>
      <c r="F14" s="6"/>
      <c r="G14" s="6"/>
      <c r="H14" s="6"/>
      <c r="I14" s="6"/>
      <c r="J14" s="6"/>
      <c r="K14" s="6"/>
      <c r="L14" s="6"/>
      <c r="M14" s="6"/>
    </row>
    <row r="15" spans="2:13" x14ac:dyDescent="0.25">
      <c r="B15" s="6"/>
      <c r="C15" s="6"/>
      <c r="D15" s="10" t="s">
        <v>26</v>
      </c>
      <c r="E15" s="12" t="s">
        <v>25</v>
      </c>
      <c r="F15" s="6"/>
      <c r="G15" s="6"/>
      <c r="H15" s="6"/>
      <c r="I15" s="6"/>
      <c r="J15" s="6"/>
      <c r="K15" s="6"/>
      <c r="L15" s="6"/>
      <c r="M15" s="6"/>
    </row>
    <row r="16" spans="2:13" x14ac:dyDescent="0.25">
      <c r="B16" s="6"/>
      <c r="C16" s="6"/>
      <c r="D16" s="10" t="s">
        <v>27</v>
      </c>
      <c r="E16" s="12" t="s">
        <v>28</v>
      </c>
      <c r="F16" s="6"/>
      <c r="G16" s="6"/>
      <c r="H16" s="6"/>
      <c r="I16" s="6"/>
      <c r="J16" s="6"/>
      <c r="K16" s="6"/>
      <c r="L16" s="6"/>
      <c r="M16" s="6"/>
    </row>
    <row r="17" spans="2:13" x14ac:dyDescent="0.25">
      <c r="B17" s="6"/>
      <c r="C17" s="10" t="s">
        <v>29</v>
      </c>
      <c r="D17" s="6"/>
      <c r="E17" s="11" t="s">
        <v>30</v>
      </c>
      <c r="F17" s="6"/>
      <c r="G17" s="6"/>
      <c r="H17" s="6"/>
      <c r="I17" s="6"/>
      <c r="J17" s="6"/>
      <c r="K17" s="6"/>
      <c r="L17" s="6"/>
      <c r="M17" s="6"/>
    </row>
    <row r="18" spans="2:13" x14ac:dyDescent="0.25">
      <c r="B18" s="6"/>
      <c r="C18" s="6"/>
      <c r="D18" s="10" t="s">
        <v>31</v>
      </c>
      <c r="E18" s="12" t="s">
        <v>32</v>
      </c>
      <c r="F18" s="6"/>
      <c r="G18" s="6"/>
      <c r="H18" s="6"/>
      <c r="I18" s="6"/>
      <c r="J18" s="6"/>
      <c r="K18" s="6"/>
      <c r="L18" s="6"/>
      <c r="M18" s="6"/>
    </row>
    <row r="19" spans="2:13" x14ac:dyDescent="0.25">
      <c r="B19" s="6"/>
      <c r="C19" s="6"/>
      <c r="D19" s="10" t="s">
        <v>33</v>
      </c>
      <c r="E19" s="12" t="s">
        <v>34</v>
      </c>
      <c r="F19" s="6"/>
      <c r="G19" s="6"/>
      <c r="H19" s="6"/>
      <c r="I19" s="6"/>
      <c r="J19" s="6"/>
      <c r="K19" s="6"/>
      <c r="L19" s="6"/>
      <c r="M19" s="6"/>
    </row>
    <row r="20" spans="2:13" x14ac:dyDescent="0.25">
      <c r="B20" s="6"/>
      <c r="C20" s="6"/>
      <c r="D20" s="10" t="s">
        <v>35</v>
      </c>
      <c r="E20" s="12" t="s">
        <v>36</v>
      </c>
      <c r="F20" s="6"/>
      <c r="G20" s="6"/>
      <c r="H20" s="6"/>
      <c r="I20" s="6"/>
      <c r="J20" s="6"/>
      <c r="K20" s="6"/>
      <c r="L20" s="6"/>
      <c r="M20" s="6"/>
    </row>
    <row r="21" spans="2:13" x14ac:dyDescent="0.25">
      <c r="B21" s="5" t="s">
        <v>37</v>
      </c>
      <c r="C21" s="6"/>
      <c r="D21" s="6"/>
      <c r="E21" s="7" t="s">
        <v>38</v>
      </c>
      <c r="F21" s="8">
        <v>8000000</v>
      </c>
      <c r="G21" s="8">
        <v>300000</v>
      </c>
      <c r="H21" s="8">
        <v>0</v>
      </c>
      <c r="I21" s="8">
        <f>F21+G21+H21</f>
      </c>
      <c r="J21" s="8">
        <v>8100000</v>
      </c>
      <c r="K21" s="8">
        <v>7900000</v>
      </c>
      <c r="L21" s="8">
        <f>J21-K21</f>
      </c>
      <c r="M21" s="9">
        <f>IF(I21=0,0,J21/I21)</f>
      </c>
    </row>
    <row r="22" spans="2:13" x14ac:dyDescent="0.25">
      <c r="B22" s="6"/>
      <c r="C22" s="10" t="s">
        <v>39</v>
      </c>
      <c r="D22" s="6"/>
      <c r="E22" s="11" t="s">
        <v>40</v>
      </c>
      <c r="F22" s="6"/>
      <c r="G22" s="6"/>
      <c r="H22" s="6"/>
      <c r="I22" s="6"/>
      <c r="J22" s="6"/>
      <c r="K22" s="6"/>
      <c r="L22" s="6"/>
      <c r="M22" s="6"/>
    </row>
    <row r="23" spans="2:13" x14ac:dyDescent="0.25">
      <c r="B23" s="6"/>
      <c r="C23" s="6"/>
      <c r="D23" s="10" t="s">
        <v>41</v>
      </c>
      <c r="E23" s="12" t="s">
        <v>42</v>
      </c>
      <c r="F23" s="6"/>
      <c r="G23" s="6"/>
      <c r="H23" s="6"/>
      <c r="I23" s="6"/>
      <c r="J23" s="6"/>
      <c r="K23" s="6"/>
      <c r="L23" s="6"/>
      <c r="M23" s="6"/>
    </row>
    <row r="24" spans="2:13" x14ac:dyDescent="0.25">
      <c r="B24" s="6"/>
      <c r="C24" s="6"/>
      <c r="D24" s="10" t="s">
        <v>43</v>
      </c>
      <c r="E24" s="12" t="s">
        <v>44</v>
      </c>
      <c r="F24" s="6"/>
      <c r="G24" s="6"/>
      <c r="H24" s="6"/>
      <c r="I24" s="6"/>
      <c r="J24" s="6"/>
      <c r="K24" s="6"/>
      <c r="L24" s="6"/>
      <c r="M24" s="6"/>
    </row>
    <row r="25" spans="2:13" x14ac:dyDescent="0.25">
      <c r="B25" s="6"/>
      <c r="C25" s="6"/>
      <c r="D25" s="10" t="s">
        <v>45</v>
      </c>
      <c r="E25" s="12" t="s">
        <v>46</v>
      </c>
      <c r="F25" s="6"/>
      <c r="G25" s="6"/>
      <c r="H25" s="6"/>
      <c r="I25" s="6"/>
      <c r="J25" s="6"/>
      <c r="K25" s="6"/>
      <c r="L25" s="6"/>
      <c r="M25" s="6"/>
    </row>
    <row r="26" spans="2:13" x14ac:dyDescent="0.25">
      <c r="B26" s="6"/>
      <c r="C26" s="6"/>
      <c r="D26" s="10" t="s">
        <v>47</v>
      </c>
      <c r="E26" s="12" t="s">
        <v>48</v>
      </c>
      <c r="F26" s="6"/>
      <c r="G26" s="6"/>
      <c r="H26" s="6"/>
      <c r="I26" s="6"/>
      <c r="J26" s="6"/>
      <c r="K26" s="6"/>
      <c r="L26" s="6"/>
      <c r="M26" s="6"/>
    </row>
    <row r="27" spans="2:13" x14ac:dyDescent="0.25">
      <c r="B27" s="6"/>
      <c r="C27" s="6"/>
      <c r="D27" s="10" t="s">
        <v>49</v>
      </c>
      <c r="E27" s="12" t="s">
        <v>50</v>
      </c>
      <c r="F27" s="6"/>
      <c r="G27" s="6"/>
      <c r="H27" s="6"/>
      <c r="I27" s="6"/>
      <c r="J27" s="6"/>
      <c r="K27" s="6"/>
      <c r="L27" s="6"/>
      <c r="M27" s="6"/>
    </row>
    <row r="28" spans="2:13" x14ac:dyDescent="0.25">
      <c r="B28" s="6"/>
      <c r="C28" s="10" t="s">
        <v>51</v>
      </c>
      <c r="D28" s="6"/>
      <c r="E28" s="11" t="s">
        <v>52</v>
      </c>
      <c r="F28" s="6"/>
      <c r="G28" s="6"/>
      <c r="H28" s="6"/>
      <c r="I28" s="6"/>
      <c r="J28" s="6"/>
      <c r="K28" s="6"/>
      <c r="L28" s="6"/>
      <c r="M28" s="6"/>
    </row>
    <row r="29" spans="2:13" x14ac:dyDescent="0.25">
      <c r="B29" s="6"/>
      <c r="C29" s="6"/>
      <c r="D29" s="10" t="s">
        <v>53</v>
      </c>
      <c r="E29" s="12" t="s">
        <v>54</v>
      </c>
      <c r="F29" s="6"/>
      <c r="G29" s="6"/>
      <c r="H29" s="6"/>
      <c r="I29" s="6"/>
      <c r="J29" s="6"/>
      <c r="K29" s="6"/>
      <c r="L29" s="6"/>
      <c r="M29" s="6"/>
    </row>
    <row r="30" spans="2:13" x14ac:dyDescent="0.25">
      <c r="B30" s="6"/>
      <c r="C30" s="6"/>
      <c r="D30" s="10" t="s">
        <v>55</v>
      </c>
      <c r="E30" s="12" t="s">
        <v>56</v>
      </c>
      <c r="F30" s="6"/>
      <c r="G30" s="6"/>
      <c r="H30" s="6"/>
      <c r="I30" s="6"/>
      <c r="J30" s="6"/>
      <c r="K30" s="6"/>
      <c r="L30" s="6"/>
      <c r="M30" s="6"/>
    </row>
    <row r="31" spans="2:13" x14ac:dyDescent="0.25">
      <c r="B31" s="6"/>
      <c r="C31" s="6"/>
      <c r="D31" s="10" t="s">
        <v>57</v>
      </c>
      <c r="E31" s="12" t="s">
        <v>58</v>
      </c>
      <c r="F31" s="6"/>
      <c r="G31" s="6"/>
      <c r="H31" s="6"/>
      <c r="I31" s="6"/>
      <c r="J31" s="6"/>
      <c r="K31" s="6"/>
      <c r="L31" s="6"/>
      <c r="M31" s="6"/>
    </row>
    <row r="32" spans="2:13" x14ac:dyDescent="0.25">
      <c r="B32" s="6"/>
      <c r="C32" s="6"/>
      <c r="D32" s="10" t="s">
        <v>59</v>
      </c>
      <c r="E32" s="12" t="s">
        <v>60</v>
      </c>
      <c r="F32" s="6"/>
      <c r="G32" s="6"/>
      <c r="H32" s="6"/>
      <c r="I32" s="6"/>
      <c r="J32" s="6"/>
      <c r="K32" s="6"/>
      <c r="L32" s="6"/>
      <c r="M32" s="6"/>
    </row>
    <row r="33" spans="2:13" x14ac:dyDescent="0.25">
      <c r="B33" s="6"/>
      <c r="C33" s="10" t="s">
        <v>61</v>
      </c>
      <c r="D33" s="6"/>
      <c r="E33" s="11" t="s">
        <v>62</v>
      </c>
      <c r="F33" s="6"/>
      <c r="G33" s="6"/>
      <c r="H33" s="6"/>
      <c r="I33" s="6"/>
      <c r="J33" s="6"/>
      <c r="K33" s="6"/>
      <c r="L33" s="6"/>
      <c r="M33" s="6"/>
    </row>
    <row r="34" spans="2:13" x14ac:dyDescent="0.25">
      <c r="B34" s="6"/>
      <c r="C34" s="6"/>
      <c r="D34" s="10" t="s">
        <v>63</v>
      </c>
      <c r="E34" s="12" t="s">
        <v>64</v>
      </c>
      <c r="F34" s="6"/>
      <c r="G34" s="6"/>
      <c r="H34" s="6"/>
      <c r="I34" s="6"/>
      <c r="J34" s="6"/>
      <c r="K34" s="6"/>
      <c r="L34" s="6"/>
      <c r="M34" s="6"/>
    </row>
    <row r="35" spans="2:13" x14ac:dyDescent="0.25">
      <c r="B35" s="6"/>
      <c r="C35" s="6"/>
      <c r="D35" s="10" t="s">
        <v>65</v>
      </c>
      <c r="E35" s="12" t="s">
        <v>66</v>
      </c>
      <c r="F35" s="6"/>
      <c r="G35" s="6"/>
      <c r="H35" s="6"/>
      <c r="I35" s="6"/>
      <c r="J35" s="6"/>
      <c r="K35" s="6"/>
      <c r="L35" s="6"/>
      <c r="M35" s="6"/>
    </row>
    <row r="36" spans="2:13" x14ac:dyDescent="0.25">
      <c r="B36" s="6"/>
      <c r="C36" s="6"/>
      <c r="D36" s="10" t="s">
        <v>67</v>
      </c>
      <c r="E36" s="12" t="s">
        <v>68</v>
      </c>
      <c r="F36" s="6"/>
      <c r="G36" s="6"/>
      <c r="H36" s="6"/>
      <c r="I36" s="6"/>
      <c r="J36" s="6"/>
      <c r="K36" s="6"/>
      <c r="L36" s="6"/>
      <c r="M36" s="6"/>
    </row>
    <row r="37" spans="2:13" x14ac:dyDescent="0.25">
      <c r="B37" s="6"/>
      <c r="C37" s="6"/>
      <c r="D37" s="10" t="s">
        <v>69</v>
      </c>
      <c r="E37" s="12" t="s">
        <v>70</v>
      </c>
      <c r="F37" s="6"/>
      <c r="G37" s="6"/>
      <c r="H37" s="6"/>
      <c r="I37" s="6"/>
      <c r="J37" s="6"/>
      <c r="K37" s="6"/>
      <c r="L37" s="6"/>
      <c r="M37" s="6"/>
    </row>
    <row r="38" spans="2:13" x14ac:dyDescent="0.25">
      <c r="B38" s="6"/>
      <c r="C38" s="6"/>
      <c r="D38" s="10" t="s">
        <v>71</v>
      </c>
      <c r="E38" s="12" t="s">
        <v>72</v>
      </c>
      <c r="F38" s="6"/>
      <c r="G38" s="6"/>
      <c r="H38" s="6"/>
      <c r="I38" s="6"/>
      <c r="J38" s="6"/>
      <c r="K38" s="6"/>
      <c r="L38" s="6"/>
      <c r="M38" s="6"/>
    </row>
    <row r="39" spans="2:13" x14ac:dyDescent="0.25">
      <c r="B39" s="6"/>
      <c r="C39" s="10" t="s">
        <v>73</v>
      </c>
      <c r="D39" s="6"/>
      <c r="E39" s="11" t="s">
        <v>74</v>
      </c>
      <c r="F39" s="6"/>
      <c r="G39" s="6"/>
      <c r="H39" s="6"/>
      <c r="I39" s="6"/>
      <c r="J39" s="6"/>
      <c r="K39" s="6"/>
      <c r="L39" s="6"/>
      <c r="M39" s="6"/>
    </row>
    <row r="40" spans="2:13" x14ac:dyDescent="0.25">
      <c r="B40" s="6"/>
      <c r="C40" s="6"/>
      <c r="D40" s="10" t="s">
        <v>75</v>
      </c>
      <c r="E40" s="12" t="s">
        <v>74</v>
      </c>
      <c r="F40" s="6"/>
      <c r="G40" s="6"/>
      <c r="H40" s="6"/>
      <c r="I40" s="6"/>
      <c r="J40" s="6"/>
      <c r="K40" s="6"/>
      <c r="L40" s="6"/>
      <c r="M40" s="6"/>
    </row>
    <row r="41" spans="2:13" x14ac:dyDescent="0.25">
      <c r="B41" s="5" t="s">
        <v>76</v>
      </c>
      <c r="C41" s="6"/>
      <c r="D41" s="6"/>
      <c r="E41" s="7" t="s">
        <v>77</v>
      </c>
      <c r="F41" s="8">
        <v>3000000</v>
      </c>
      <c r="G41" s="8">
        <v>100000</v>
      </c>
      <c r="H41" s="8">
        <v>50000</v>
      </c>
      <c r="I41" s="8">
        <f>F41+G41+H41</f>
      </c>
      <c r="J41" s="8">
        <v>3000000</v>
      </c>
      <c r="K41" s="8">
        <v>2850000</v>
      </c>
      <c r="L41" s="8">
        <f>J41-K41</f>
      </c>
      <c r="M41" s="9">
        <f>IF(I41=0,0,J41/I41)</f>
      </c>
    </row>
    <row r="42" spans="2:13" x14ac:dyDescent="0.25">
      <c r="B42" s="6"/>
      <c r="C42" s="10" t="s">
        <v>78</v>
      </c>
      <c r="D42" s="6"/>
      <c r="E42" s="11" t="s">
        <v>79</v>
      </c>
      <c r="F42" s="6"/>
      <c r="G42" s="6"/>
      <c r="H42" s="6"/>
      <c r="I42" s="6"/>
      <c r="J42" s="6"/>
      <c r="K42" s="6"/>
      <c r="L42" s="6"/>
      <c r="M42" s="6"/>
    </row>
    <row r="43" spans="2:13" x14ac:dyDescent="0.25">
      <c r="B43" s="6"/>
      <c r="C43" s="6"/>
      <c r="D43" s="10" t="s">
        <v>80</v>
      </c>
      <c r="E43" s="12" t="s">
        <v>81</v>
      </c>
      <c r="F43" s="6"/>
      <c r="G43" s="6"/>
      <c r="H43" s="6"/>
      <c r="I43" s="6"/>
      <c r="J43" s="6"/>
      <c r="K43" s="6"/>
      <c r="L43" s="6"/>
      <c r="M43" s="6"/>
    </row>
    <row r="44" spans="2:13" x14ac:dyDescent="0.25">
      <c r="B44" s="6"/>
      <c r="C44" s="6"/>
      <c r="D44" s="10" t="s">
        <v>82</v>
      </c>
      <c r="E44" s="12" t="s">
        <v>83</v>
      </c>
      <c r="F44" s="6"/>
      <c r="G44" s="6"/>
      <c r="H44" s="6"/>
      <c r="I44" s="6"/>
      <c r="J44" s="6"/>
      <c r="K44" s="6"/>
      <c r="L44" s="6"/>
      <c r="M44" s="6"/>
    </row>
    <row r="45" spans="2:13" x14ac:dyDescent="0.25">
      <c r="B45" s="6"/>
      <c r="C45" s="6"/>
      <c r="D45" s="10" t="s">
        <v>84</v>
      </c>
      <c r="E45" s="12" t="s">
        <v>85</v>
      </c>
      <c r="F45" s="6"/>
      <c r="G45" s="6"/>
      <c r="H45" s="6"/>
      <c r="I45" s="6"/>
      <c r="J45" s="6"/>
      <c r="K45" s="6"/>
      <c r="L45" s="6"/>
      <c r="M45" s="6"/>
    </row>
    <row r="46" spans="2:13" x14ac:dyDescent="0.25">
      <c r="B46" s="6"/>
      <c r="C46" s="10" t="s">
        <v>86</v>
      </c>
      <c r="D46" s="6"/>
      <c r="E46" s="11" t="s">
        <v>87</v>
      </c>
      <c r="F46" s="6"/>
      <c r="G46" s="6"/>
      <c r="H46" s="6"/>
      <c r="I46" s="6"/>
      <c r="J46" s="6"/>
      <c r="K46" s="6"/>
      <c r="L46" s="6"/>
      <c r="M46" s="6"/>
    </row>
    <row r="47" spans="2:13" x14ac:dyDescent="0.25">
      <c r="B47" s="6"/>
      <c r="C47" s="6"/>
      <c r="D47" s="10" t="s">
        <v>88</v>
      </c>
      <c r="E47" s="12" t="s">
        <v>89</v>
      </c>
      <c r="F47" s="6"/>
      <c r="G47" s="6"/>
      <c r="H47" s="6"/>
      <c r="I47" s="6"/>
      <c r="J47" s="6"/>
      <c r="K47" s="6"/>
      <c r="L47" s="6"/>
      <c r="M47" s="6"/>
    </row>
    <row r="48" spans="2:13" x14ac:dyDescent="0.25">
      <c r="B48" s="5" t="s">
        <v>90</v>
      </c>
      <c r="C48" s="6"/>
      <c r="D48" s="6"/>
      <c r="E48" s="7" t="s">
        <v>91</v>
      </c>
      <c r="F48" s="8">
        <v>15000000</v>
      </c>
      <c r="G48" s="8">
        <v>2000000</v>
      </c>
      <c r="H48" s="8">
        <v>500000</v>
      </c>
      <c r="I48" s="8">
        <f>F48+G48+H48</f>
      </c>
      <c r="J48" s="8">
        <v>17000000</v>
      </c>
      <c r="K48" s="8">
        <v>16500000</v>
      </c>
      <c r="L48" s="8">
        <f>J48-K48</f>
      </c>
      <c r="M48" s="9">
        <f>IF(I48=0,0,J48/I48)</f>
      </c>
    </row>
    <row r="49" spans="2:13" x14ac:dyDescent="0.25">
      <c r="B49" s="6"/>
      <c r="C49" s="10" t="s">
        <v>92</v>
      </c>
      <c r="D49" s="6"/>
      <c r="E49" s="11" t="s">
        <v>93</v>
      </c>
      <c r="F49" s="6"/>
      <c r="G49" s="6"/>
      <c r="H49" s="6"/>
      <c r="I49" s="6"/>
      <c r="J49" s="6"/>
      <c r="K49" s="6"/>
      <c r="L49" s="6"/>
      <c r="M49" s="6"/>
    </row>
    <row r="50" spans="2:13" x14ac:dyDescent="0.25">
      <c r="B50" s="6"/>
      <c r="C50" s="6"/>
      <c r="D50" s="10" t="s">
        <v>94</v>
      </c>
      <c r="E50" s="12" t="s">
        <v>95</v>
      </c>
      <c r="F50" s="6"/>
      <c r="G50" s="6"/>
      <c r="H50" s="6"/>
      <c r="I50" s="6"/>
      <c r="J50" s="6"/>
      <c r="K50" s="6"/>
      <c r="L50" s="6"/>
      <c r="M50" s="6"/>
    </row>
    <row r="51" spans="2:13" x14ac:dyDescent="0.25">
      <c r="B51" s="6"/>
      <c r="C51" s="6"/>
      <c r="D51" s="10" t="s">
        <v>96</v>
      </c>
      <c r="E51" s="12" t="s">
        <v>97</v>
      </c>
      <c r="F51" s="6"/>
      <c r="G51" s="6"/>
      <c r="H51" s="6"/>
      <c r="I51" s="6"/>
      <c r="J51" s="6"/>
      <c r="K51" s="6"/>
      <c r="L51" s="6"/>
      <c r="M51" s="6"/>
    </row>
    <row r="52" spans="2:13" x14ac:dyDescent="0.25">
      <c r="B52" s="6"/>
      <c r="C52" s="6"/>
      <c r="D52" s="10" t="s">
        <v>98</v>
      </c>
      <c r="E52" s="12" t="s">
        <v>99</v>
      </c>
      <c r="F52" s="6"/>
      <c r="G52" s="6"/>
      <c r="H52" s="6"/>
      <c r="I52" s="6"/>
      <c r="J52" s="6"/>
      <c r="K52" s="6"/>
      <c r="L52" s="6"/>
      <c r="M52" s="6"/>
    </row>
    <row r="53" spans="2:13" x14ac:dyDescent="0.25">
      <c r="B53" s="6"/>
      <c r="C53" s="6"/>
      <c r="D53" s="10" t="s">
        <v>100</v>
      </c>
      <c r="E53" s="12" t="s">
        <v>101</v>
      </c>
      <c r="F53" s="6"/>
      <c r="G53" s="6"/>
      <c r="H53" s="6"/>
      <c r="I53" s="6"/>
      <c r="J53" s="6"/>
      <c r="K53" s="6"/>
      <c r="L53" s="6"/>
      <c r="M53" s="6"/>
    </row>
    <row r="54" spans="2:13" x14ac:dyDescent="0.25">
      <c r="B54" s="6"/>
      <c r="C54" s="10" t="s">
        <v>102</v>
      </c>
      <c r="D54" s="6"/>
      <c r="E54" s="11" t="s">
        <v>103</v>
      </c>
      <c r="F54" s="6"/>
      <c r="G54" s="6"/>
      <c r="H54" s="6"/>
      <c r="I54" s="6"/>
      <c r="J54" s="6"/>
      <c r="K54" s="6"/>
      <c r="L54" s="6"/>
      <c r="M54" s="6"/>
    </row>
    <row r="55" spans="2:13" x14ac:dyDescent="0.25">
      <c r="B55" s="6"/>
      <c r="C55" s="6"/>
      <c r="D55" s="10" t="s">
        <v>104</v>
      </c>
      <c r="E55" s="12" t="s">
        <v>105</v>
      </c>
      <c r="F55" s="6"/>
      <c r="G55" s="6"/>
      <c r="H55" s="6"/>
      <c r="I55" s="6"/>
      <c r="J55" s="6"/>
      <c r="K55" s="6"/>
      <c r="L55" s="6"/>
      <c r="M55" s="6"/>
    </row>
    <row r="56" spans="2:13" x14ac:dyDescent="0.25">
      <c r="B56" s="6"/>
      <c r="C56" s="6"/>
      <c r="D56" s="10" t="s">
        <v>106</v>
      </c>
      <c r="E56" s="12" t="s">
        <v>107</v>
      </c>
      <c r="F56" s="6"/>
      <c r="G56" s="6"/>
      <c r="H56" s="6"/>
      <c r="I56" s="6"/>
      <c r="J56" s="6"/>
      <c r="K56" s="6"/>
      <c r="L56" s="6"/>
      <c r="M56" s="6"/>
    </row>
    <row r="57" spans="2:13" x14ac:dyDescent="0.25">
      <c r="B57" s="6"/>
      <c r="C57" s="6"/>
      <c r="D57" s="10" t="s">
        <v>108</v>
      </c>
      <c r="E57" s="12" t="s">
        <v>109</v>
      </c>
      <c r="F57" s="6"/>
      <c r="G57" s="6"/>
      <c r="H57" s="6"/>
      <c r="I57" s="6"/>
      <c r="J57" s="6"/>
      <c r="K57" s="6"/>
      <c r="L57" s="6"/>
      <c r="M57" s="6"/>
    </row>
    <row r="58" spans="2:13" x14ac:dyDescent="0.25">
      <c r="B58" s="6"/>
      <c r="C58" s="6"/>
      <c r="D58" s="10" t="s">
        <v>110</v>
      </c>
      <c r="E58" s="12" t="s">
        <v>111</v>
      </c>
      <c r="F58" s="6"/>
      <c r="G58" s="6"/>
      <c r="H58" s="6"/>
      <c r="I58" s="6"/>
      <c r="J58" s="6"/>
      <c r="K58" s="6"/>
      <c r="L58" s="6"/>
      <c r="M58" s="6"/>
    </row>
    <row r="59" spans="2:13" x14ac:dyDescent="0.25">
      <c r="B59" s="6"/>
      <c r="C59" s="10" t="s">
        <v>112</v>
      </c>
      <c r="D59" s="6"/>
      <c r="E59" s="11" t="s">
        <v>113</v>
      </c>
      <c r="F59" s="6"/>
      <c r="G59" s="6"/>
      <c r="H59" s="6"/>
      <c r="I59" s="6"/>
      <c r="J59" s="6"/>
      <c r="K59" s="6"/>
      <c r="L59" s="6"/>
      <c r="M59" s="6"/>
    </row>
    <row r="60" spans="2:13" x14ac:dyDescent="0.25">
      <c r="B60" s="6"/>
      <c r="C60" s="6"/>
      <c r="D60" s="10" t="s">
        <v>114</v>
      </c>
      <c r="E60" s="12" t="s">
        <v>115</v>
      </c>
      <c r="F60" s="6"/>
      <c r="G60" s="6"/>
      <c r="H60" s="6"/>
      <c r="I60" s="6"/>
      <c r="J60" s="6"/>
      <c r="K60" s="6"/>
      <c r="L60" s="6"/>
      <c r="M60" s="6"/>
    </row>
    <row r="61" spans="2:13" x14ac:dyDescent="0.25">
      <c r="B61" s="5" t="s">
        <v>116</v>
      </c>
      <c r="C61" s="6"/>
      <c r="D61" s="6"/>
      <c r="E61" s="7" t="s">
        <v>117</v>
      </c>
      <c r="F61" s="8">
        <v>500000</v>
      </c>
      <c r="G61" s="8">
        <v>0</v>
      </c>
      <c r="H61" s="8">
        <v>0</v>
      </c>
      <c r="I61" s="8">
        <f>F61+G61+H61</f>
      </c>
      <c r="J61" s="8">
        <v>480000</v>
      </c>
      <c r="K61" s="8">
        <v>450000</v>
      </c>
      <c r="L61" s="8">
        <f>J61-K61</f>
      </c>
      <c r="M61" s="9">
        <f>IF(I61=0,0,J61/I61)</f>
      </c>
    </row>
    <row r="62" spans="2:13" x14ac:dyDescent="0.25">
      <c r="B62" s="6"/>
      <c r="C62" s="10" t="s">
        <v>118</v>
      </c>
      <c r="D62" s="6"/>
      <c r="E62" s="11" t="s">
        <v>119</v>
      </c>
      <c r="F62" s="6"/>
      <c r="G62" s="6"/>
      <c r="H62" s="6"/>
      <c r="I62" s="6"/>
      <c r="J62" s="6"/>
      <c r="K62" s="6"/>
      <c r="L62" s="6"/>
      <c r="M62" s="6"/>
    </row>
    <row r="63" spans="2:13" x14ac:dyDescent="0.25">
      <c r="B63" s="6"/>
      <c r="C63" s="6"/>
      <c r="D63" s="10" t="s">
        <v>120</v>
      </c>
      <c r="E63" s="12" t="s">
        <v>119</v>
      </c>
      <c r="F63" s="6"/>
      <c r="G63" s="6"/>
      <c r="H63" s="6"/>
      <c r="I63" s="6"/>
      <c r="J63" s="6"/>
      <c r="K63" s="6"/>
      <c r="L63" s="6"/>
      <c r="M63" s="6"/>
    </row>
    <row r="64" spans="2:13" x14ac:dyDescent="0.25">
      <c r="B64" s="6"/>
      <c r="C64" s="10" t="s">
        <v>121</v>
      </c>
      <c r="D64" s="6"/>
      <c r="E64" s="11" t="s">
        <v>122</v>
      </c>
      <c r="F64" s="6"/>
      <c r="G64" s="6"/>
      <c r="H64" s="6"/>
      <c r="I64" s="6"/>
      <c r="J64" s="6"/>
      <c r="K64" s="6"/>
      <c r="L64" s="6"/>
      <c r="M64" s="6"/>
    </row>
    <row r="65" spans="2:13" x14ac:dyDescent="0.25">
      <c r="B65" s="6"/>
      <c r="C65" s="6"/>
      <c r="D65" s="10" t="s">
        <v>123</v>
      </c>
      <c r="E65" s="12" t="s">
        <v>124</v>
      </c>
      <c r="F65" s="6"/>
      <c r="G65" s="6"/>
      <c r="H65" s="6"/>
      <c r="I65" s="6"/>
      <c r="J65" s="6"/>
      <c r="K65" s="6"/>
      <c r="L65" s="6"/>
      <c r="M65" s="6"/>
    </row>
    <row r="66" spans="2:13" x14ac:dyDescent="0.25">
      <c r="B66" s="6"/>
      <c r="C66" s="6"/>
      <c r="D66" s="10" t="s">
        <v>125</v>
      </c>
      <c r="E66" s="12" t="s">
        <v>126</v>
      </c>
      <c r="F66" s="6"/>
      <c r="G66" s="6"/>
      <c r="H66" s="6"/>
      <c r="I66" s="6"/>
      <c r="J66" s="6"/>
      <c r="K66" s="6"/>
      <c r="L66" s="6"/>
      <c r="M66" s="6"/>
    </row>
    <row r="67" spans="2:13" x14ac:dyDescent="0.25">
      <c r="B67" s="6"/>
      <c r="C67" s="10" t="s">
        <v>127</v>
      </c>
      <c r="D67" s="6"/>
      <c r="E67" s="11" t="s">
        <v>128</v>
      </c>
      <c r="F67" s="6"/>
      <c r="G67" s="6"/>
      <c r="H67" s="6"/>
      <c r="I67" s="6"/>
      <c r="J67" s="6"/>
      <c r="K67" s="6"/>
      <c r="L67" s="6"/>
      <c r="M67" s="6"/>
    </row>
    <row r="68" spans="2:13" x14ac:dyDescent="0.25">
      <c r="B68" s="6"/>
      <c r="C68" s="6"/>
      <c r="D68" s="10" t="s">
        <v>129</v>
      </c>
      <c r="E68" s="12" t="s">
        <v>128</v>
      </c>
      <c r="F68" s="6"/>
      <c r="G68" s="6"/>
      <c r="H68" s="6"/>
      <c r="I68" s="6"/>
      <c r="J68" s="6"/>
      <c r="K68" s="6"/>
      <c r="L68" s="6"/>
      <c r="M68" s="6"/>
    </row>
    <row r="69" spans="2:13" x14ac:dyDescent="0.25">
      <c r="B69" s="6"/>
      <c r="C69" s="10" t="s">
        <v>130</v>
      </c>
      <c r="D69" s="6"/>
      <c r="E69" s="11" t="s">
        <v>131</v>
      </c>
      <c r="F69" s="6"/>
      <c r="G69" s="6"/>
      <c r="H69" s="6"/>
      <c r="I69" s="6"/>
      <c r="J69" s="6"/>
      <c r="K69" s="6"/>
      <c r="L69" s="6"/>
      <c r="M69" s="6"/>
    </row>
    <row r="70" spans="2:13" x14ac:dyDescent="0.25">
      <c r="B70" s="6"/>
      <c r="C70" s="6"/>
      <c r="D70" s="10" t="s">
        <v>132</v>
      </c>
      <c r="E70" s="12" t="s">
        <v>133</v>
      </c>
      <c r="F70" s="6"/>
      <c r="G70" s="6"/>
      <c r="H70" s="6"/>
      <c r="I70" s="6"/>
      <c r="J70" s="6"/>
      <c r="K70" s="6"/>
      <c r="L70" s="6"/>
      <c r="M70" s="6"/>
    </row>
    <row r="71" spans="2:13" x14ac:dyDescent="0.25">
      <c r="B71" s="6"/>
      <c r="C71" s="6"/>
      <c r="D71" s="10" t="s">
        <v>134</v>
      </c>
      <c r="E71" s="12" t="s">
        <v>135</v>
      </c>
      <c r="F71" s="6"/>
      <c r="G71" s="6"/>
      <c r="H71" s="6"/>
      <c r="I71" s="6"/>
      <c r="J71" s="6"/>
      <c r="K71" s="6"/>
      <c r="L71" s="6"/>
      <c r="M71" s="6"/>
    </row>
    <row r="72" spans="2:13" x14ac:dyDescent="0.25">
      <c r="B72" s="6"/>
      <c r="C72" s="10" t="s">
        <v>136</v>
      </c>
      <c r="D72" s="6"/>
      <c r="E72" s="11" t="s">
        <v>137</v>
      </c>
      <c r="F72" s="6"/>
      <c r="G72" s="6"/>
      <c r="H72" s="6"/>
      <c r="I72" s="6"/>
      <c r="J72" s="6"/>
      <c r="K72" s="6"/>
      <c r="L72" s="6"/>
      <c r="M72" s="6"/>
    </row>
    <row r="73" spans="2:13" x14ac:dyDescent="0.25">
      <c r="B73" s="6"/>
      <c r="C73" s="6"/>
      <c r="D73" s="10" t="s">
        <v>138</v>
      </c>
      <c r="E73" s="12" t="s">
        <v>137</v>
      </c>
      <c r="F73" s="6"/>
      <c r="G73" s="6"/>
      <c r="H73" s="6"/>
      <c r="I73" s="6"/>
      <c r="J73" s="6"/>
      <c r="K73" s="6"/>
      <c r="L73" s="6"/>
      <c r="M73" s="6"/>
    </row>
    <row r="74" spans="2:13" x14ac:dyDescent="0.25">
      <c r="B74" s="5" t="s">
        <v>139</v>
      </c>
      <c r="C74" s="6"/>
      <c r="D74" s="6"/>
      <c r="E74" s="7" t="s">
        <v>140</v>
      </c>
      <c r="F74" s="8">
        <v>6000000</v>
      </c>
      <c r="G74" s="8">
        <v>400000</v>
      </c>
      <c r="H74" s="8">
        <v>-100000</v>
      </c>
      <c r="I74" s="8">
        <f>F74+G74+H74</f>
      </c>
      <c r="J74" s="8">
        <v>6200000</v>
      </c>
      <c r="K74" s="8">
        <v>5900000</v>
      </c>
      <c r="L74" s="8">
        <f>J74-K74</f>
      </c>
      <c r="M74" s="9">
        <f>IF(I74=0,0,J74/I74)</f>
      </c>
    </row>
    <row r="75" spans="2:13" x14ac:dyDescent="0.25">
      <c r="B75" s="6"/>
      <c r="C75" s="10" t="s">
        <v>141</v>
      </c>
      <c r="D75" s="6"/>
      <c r="E75" s="11" t="s">
        <v>142</v>
      </c>
      <c r="F75" s="6"/>
      <c r="G75" s="6"/>
      <c r="H75" s="6"/>
      <c r="I75" s="6"/>
      <c r="J75" s="6"/>
      <c r="K75" s="6"/>
      <c r="L75" s="6"/>
      <c r="M75" s="6"/>
    </row>
    <row r="76" spans="2:13" x14ac:dyDescent="0.25">
      <c r="B76" s="6"/>
      <c r="C76" s="6"/>
      <c r="D76" s="10" t="s">
        <v>143</v>
      </c>
      <c r="E76" s="12" t="s">
        <v>144</v>
      </c>
      <c r="F76" s="6"/>
      <c r="G76" s="6"/>
      <c r="H76" s="6"/>
      <c r="I76" s="6"/>
      <c r="J76" s="6"/>
      <c r="K76" s="6"/>
      <c r="L76" s="6"/>
      <c r="M76" s="6"/>
    </row>
    <row r="77" spans="2:13" x14ac:dyDescent="0.25">
      <c r="B77" s="6"/>
      <c r="C77" s="6"/>
      <c r="D77" s="10" t="s">
        <v>145</v>
      </c>
      <c r="E77" s="12" t="s">
        <v>146</v>
      </c>
      <c r="F77" s="6"/>
      <c r="G77" s="6"/>
      <c r="H77" s="6"/>
      <c r="I77" s="6"/>
      <c r="J77" s="6"/>
      <c r="K77" s="6"/>
      <c r="L77" s="6"/>
      <c r="M77" s="6"/>
    </row>
    <row r="78" spans="2:13" x14ac:dyDescent="0.25">
      <c r="B78" s="6"/>
      <c r="C78" s="6"/>
      <c r="D78" s="10" t="s">
        <v>147</v>
      </c>
      <c r="E78" s="12" t="s">
        <v>148</v>
      </c>
      <c r="F78" s="6"/>
      <c r="G78" s="6"/>
      <c r="H78" s="6"/>
      <c r="I78" s="6"/>
      <c r="J78" s="6"/>
      <c r="K78" s="6"/>
      <c r="L78" s="6"/>
      <c r="M78" s="6"/>
    </row>
    <row r="79" spans="2:13" x14ac:dyDescent="0.25">
      <c r="B79" s="6"/>
      <c r="C79" s="6"/>
      <c r="D79" s="10" t="s">
        <v>149</v>
      </c>
      <c r="E79" s="12" t="s">
        <v>150</v>
      </c>
      <c r="F79" s="6"/>
      <c r="G79" s="6"/>
      <c r="H79" s="6"/>
      <c r="I79" s="6"/>
      <c r="J79" s="6"/>
      <c r="K79" s="6"/>
      <c r="L79" s="6"/>
      <c r="M79" s="6"/>
    </row>
    <row r="80" spans="2:13" x14ac:dyDescent="0.25">
      <c r="B80" s="6"/>
      <c r="C80" s="6"/>
      <c r="D80" s="10" t="s">
        <v>151</v>
      </c>
      <c r="E80" s="12" t="s">
        <v>152</v>
      </c>
      <c r="F80" s="6"/>
      <c r="G80" s="6"/>
      <c r="H80" s="6"/>
      <c r="I80" s="6"/>
      <c r="J80" s="6"/>
      <c r="K80" s="6"/>
      <c r="L80" s="6"/>
      <c r="M80" s="6"/>
    </row>
    <row r="81" spans="2:13" x14ac:dyDescent="0.25">
      <c r="B81" s="6"/>
      <c r="C81" s="6"/>
      <c r="D81" s="10" t="s">
        <v>153</v>
      </c>
      <c r="E81" s="12" t="s">
        <v>154</v>
      </c>
      <c r="F81" s="6"/>
      <c r="G81" s="6"/>
      <c r="H81" s="6"/>
      <c r="I81" s="6"/>
      <c r="J81" s="6"/>
      <c r="K81" s="6"/>
      <c r="L81" s="6"/>
      <c r="M81" s="6"/>
    </row>
    <row r="82" spans="2:13" x14ac:dyDescent="0.25">
      <c r="B82" s="6"/>
      <c r="C82" s="6"/>
      <c r="D82" s="10" t="s">
        <v>155</v>
      </c>
      <c r="E82" s="12" t="s">
        <v>156</v>
      </c>
      <c r="F82" s="6"/>
      <c r="G82" s="6"/>
      <c r="H82" s="6"/>
      <c r="I82" s="6"/>
      <c r="J82" s="6"/>
      <c r="K82" s="6"/>
      <c r="L82" s="6"/>
      <c r="M82" s="6"/>
    </row>
    <row r="83" spans="2:13" x14ac:dyDescent="0.25">
      <c r="B83" s="6"/>
      <c r="C83" s="6"/>
      <c r="D83" s="10" t="s">
        <v>157</v>
      </c>
      <c r="E83" s="12" t="s">
        <v>158</v>
      </c>
      <c r="F83" s="6"/>
      <c r="G83" s="6"/>
      <c r="H83" s="6"/>
      <c r="I83" s="6"/>
      <c r="J83" s="6"/>
      <c r="K83" s="6"/>
      <c r="L83" s="6"/>
      <c r="M83" s="6"/>
    </row>
    <row r="84" spans="2:13" x14ac:dyDescent="0.25">
      <c r="B84" s="6"/>
      <c r="C84" s="10" t="s">
        <v>159</v>
      </c>
      <c r="D84" s="6"/>
      <c r="E84" s="11" t="s">
        <v>160</v>
      </c>
      <c r="F84" s="6"/>
      <c r="G84" s="6"/>
      <c r="H84" s="6"/>
      <c r="I84" s="6"/>
      <c r="J84" s="6"/>
      <c r="K84" s="6"/>
      <c r="L84" s="6"/>
      <c r="M84" s="6"/>
    </row>
    <row r="85" spans="2:13" x14ac:dyDescent="0.25">
      <c r="B85" s="6"/>
      <c r="C85" s="6"/>
      <c r="D85" s="10" t="s">
        <v>161</v>
      </c>
      <c r="E85" s="12" t="s">
        <v>162</v>
      </c>
      <c r="F85" s="6"/>
      <c r="G85" s="6"/>
      <c r="H85" s="6"/>
      <c r="I85" s="6"/>
      <c r="J85" s="6"/>
      <c r="K85" s="6"/>
      <c r="L85" s="6"/>
      <c r="M85" s="6"/>
    </row>
    <row r="86" spans="2:13" x14ac:dyDescent="0.25">
      <c r="B86" s="6"/>
      <c r="C86" s="6"/>
      <c r="D86" s="10" t="s">
        <v>163</v>
      </c>
      <c r="E86" s="12" t="s">
        <v>164</v>
      </c>
      <c r="F86" s="6"/>
      <c r="G86" s="6"/>
      <c r="H86" s="6"/>
      <c r="I86" s="6"/>
      <c r="J86" s="6"/>
      <c r="K86" s="6"/>
      <c r="L86" s="6"/>
      <c r="M86" s="6"/>
    </row>
    <row r="87" spans="2:13" x14ac:dyDescent="0.25">
      <c r="B87" s="6"/>
      <c r="C87" s="6"/>
      <c r="D87" s="10" t="s">
        <v>165</v>
      </c>
      <c r="E87" s="12" t="s">
        <v>166</v>
      </c>
      <c r="F87" s="6"/>
      <c r="G87" s="6"/>
      <c r="H87" s="6"/>
      <c r="I87" s="6"/>
      <c r="J87" s="6"/>
      <c r="K87" s="6"/>
      <c r="L87" s="6"/>
      <c r="M87" s="6"/>
    </row>
    <row r="88" spans="2:13" x14ac:dyDescent="0.25">
      <c r="B88" s="6"/>
      <c r="C88" s="6"/>
      <c r="D88" s="10" t="s">
        <v>167</v>
      </c>
      <c r="E88" s="12" t="s">
        <v>168</v>
      </c>
      <c r="F88" s="6"/>
      <c r="G88" s="6"/>
      <c r="H88" s="6"/>
      <c r="I88" s="6"/>
      <c r="J88" s="6"/>
      <c r="K88" s="6"/>
      <c r="L88" s="6"/>
      <c r="M88" s="6"/>
    </row>
    <row r="89" spans="2:13" x14ac:dyDescent="0.25">
      <c r="B89" s="6"/>
      <c r="C89" s="6"/>
      <c r="D89" s="10" t="s">
        <v>169</v>
      </c>
      <c r="E89" s="12" t="s">
        <v>170</v>
      </c>
      <c r="F89" s="6"/>
      <c r="G89" s="6"/>
      <c r="H89" s="6"/>
      <c r="I89" s="6"/>
      <c r="J89" s="6"/>
      <c r="K89" s="6"/>
      <c r="L89" s="6"/>
      <c r="M89" s="6"/>
    </row>
    <row r="90" spans="2:13" x14ac:dyDescent="0.25">
      <c r="B90" s="6"/>
      <c r="C90" s="6"/>
      <c r="D90" s="10" t="s">
        <v>171</v>
      </c>
      <c r="E90" s="12" t="s">
        <v>172</v>
      </c>
      <c r="F90" s="6"/>
      <c r="G90" s="6"/>
      <c r="H90" s="6"/>
      <c r="I90" s="6"/>
      <c r="J90" s="6"/>
      <c r="K90" s="6"/>
      <c r="L90" s="6"/>
      <c r="M90" s="6"/>
    </row>
    <row r="91" spans="2:13" x14ac:dyDescent="0.25">
      <c r="B91" s="6"/>
      <c r="C91" s="6"/>
      <c r="D91" s="10" t="s">
        <v>173</v>
      </c>
      <c r="E91" s="12" t="s">
        <v>174</v>
      </c>
      <c r="F91" s="6"/>
      <c r="G91" s="6"/>
      <c r="H91" s="6"/>
      <c r="I91" s="6"/>
      <c r="J91" s="6"/>
      <c r="K91" s="6"/>
      <c r="L91" s="6"/>
      <c r="M91" s="6"/>
    </row>
    <row r="92" spans="2:13" x14ac:dyDescent="0.25">
      <c r="B92" s="6"/>
      <c r="C92" s="6"/>
      <c r="D92" s="10" t="s">
        <v>175</v>
      </c>
      <c r="E92" s="12" t="s">
        <v>176</v>
      </c>
      <c r="F92" s="6"/>
      <c r="G92" s="6"/>
      <c r="H92" s="6"/>
      <c r="I92" s="6"/>
      <c r="J92" s="6"/>
      <c r="K92" s="6"/>
      <c r="L92" s="6"/>
      <c r="M92" s="6"/>
    </row>
    <row r="93" spans="2:13" x14ac:dyDescent="0.25">
      <c r="B93" s="6"/>
      <c r="C93" s="10" t="s">
        <v>177</v>
      </c>
      <c r="D93" s="6"/>
      <c r="E93" s="11" t="s">
        <v>178</v>
      </c>
      <c r="F93" s="6"/>
      <c r="G93" s="6"/>
      <c r="H93" s="6"/>
      <c r="I93" s="6"/>
      <c r="J93" s="6"/>
      <c r="K93" s="6"/>
      <c r="L93" s="6"/>
      <c r="M93" s="6"/>
    </row>
    <row r="94" spans="2:13" x14ac:dyDescent="0.25">
      <c r="B94" s="6"/>
      <c r="C94" s="6"/>
      <c r="D94" s="10" t="s">
        <v>179</v>
      </c>
      <c r="E94" s="12" t="s">
        <v>180</v>
      </c>
      <c r="F94" s="6"/>
      <c r="G94" s="6"/>
      <c r="H94" s="6"/>
      <c r="I94" s="6"/>
      <c r="J94" s="6"/>
      <c r="K94" s="6"/>
      <c r="L94" s="6"/>
      <c r="M94" s="6"/>
    </row>
    <row r="95" spans="2:13" x14ac:dyDescent="0.25">
      <c r="B95" s="6"/>
      <c r="C95" s="6"/>
      <c r="D95" s="10" t="s">
        <v>181</v>
      </c>
      <c r="E95" s="12" t="s">
        <v>182</v>
      </c>
      <c r="F95" s="6"/>
      <c r="G95" s="6"/>
      <c r="H95" s="6"/>
      <c r="I95" s="6"/>
      <c r="J95" s="6"/>
      <c r="K95" s="6"/>
      <c r="L95" s="6"/>
      <c r="M95" s="6"/>
    </row>
    <row r="96" spans="2:13" x14ac:dyDescent="0.25">
      <c r="B96" s="6"/>
      <c r="C96" s="6"/>
      <c r="D96" s="10" t="s">
        <v>183</v>
      </c>
      <c r="E96" s="12" t="s">
        <v>184</v>
      </c>
      <c r="F96" s="6"/>
      <c r="G96" s="6"/>
      <c r="H96" s="6"/>
      <c r="I96" s="6"/>
      <c r="J96" s="6"/>
      <c r="K96" s="6"/>
      <c r="L96" s="6"/>
      <c r="M96" s="6"/>
    </row>
    <row r="97" spans="2:13" x14ac:dyDescent="0.25">
      <c r="B97" s="6"/>
      <c r="C97" s="6"/>
      <c r="D97" s="10" t="s">
        <v>185</v>
      </c>
      <c r="E97" s="12" t="s">
        <v>186</v>
      </c>
      <c r="F97" s="6"/>
      <c r="G97" s="6"/>
      <c r="H97" s="6"/>
      <c r="I97" s="6"/>
      <c r="J97" s="6"/>
      <c r="K97" s="6"/>
      <c r="L97" s="6"/>
      <c r="M97" s="6"/>
    </row>
    <row r="98" spans="2:13" x14ac:dyDescent="0.25">
      <c r="B98" s="6"/>
      <c r="C98" s="6"/>
      <c r="D98" s="10" t="s">
        <v>187</v>
      </c>
      <c r="E98" s="12" t="s">
        <v>188</v>
      </c>
      <c r="F98" s="6"/>
      <c r="G98" s="6"/>
      <c r="H98" s="6"/>
      <c r="I98" s="6"/>
      <c r="J98" s="6"/>
      <c r="K98" s="6"/>
      <c r="L98" s="6"/>
      <c r="M98" s="6"/>
    </row>
    <row r="99" spans="2:13" x14ac:dyDescent="0.25">
      <c r="B99" s="6"/>
      <c r="C99" s="6"/>
      <c r="D99" s="10" t="s">
        <v>189</v>
      </c>
      <c r="E99" s="12" t="s">
        <v>190</v>
      </c>
      <c r="F99" s="6"/>
      <c r="G99" s="6"/>
      <c r="H99" s="6"/>
      <c r="I99" s="6"/>
      <c r="J99" s="6"/>
      <c r="K99" s="6"/>
      <c r="L99" s="6"/>
      <c r="M99" s="6"/>
    </row>
    <row r="100" spans="2:13" x14ac:dyDescent="0.25">
      <c r="B100" s="6"/>
      <c r="C100" s="10" t="s">
        <v>191</v>
      </c>
      <c r="D100" s="6"/>
      <c r="E100" s="11" t="s">
        <v>192</v>
      </c>
      <c r="F100" s="6"/>
      <c r="G100" s="6"/>
      <c r="H100" s="6"/>
      <c r="I100" s="6"/>
      <c r="J100" s="6"/>
      <c r="K100" s="6"/>
      <c r="L100" s="6"/>
      <c r="M100" s="6"/>
    </row>
    <row r="101" spans="2:13" x14ac:dyDescent="0.25">
      <c r="B101" s="6"/>
      <c r="C101" s="6"/>
      <c r="D101" s="10" t="s">
        <v>193</v>
      </c>
      <c r="E101" s="12" t="s">
        <v>194</v>
      </c>
      <c r="F101" s="6"/>
      <c r="G101" s="6"/>
      <c r="H101" s="6"/>
      <c r="I101" s="6"/>
      <c r="J101" s="6"/>
      <c r="K101" s="6"/>
      <c r="L101" s="6"/>
      <c r="M101" s="6"/>
    </row>
    <row r="102" spans="2:13" x14ac:dyDescent="0.25">
      <c r="B102" s="6"/>
      <c r="C102" s="6"/>
      <c r="D102" s="10" t="s">
        <v>195</v>
      </c>
      <c r="E102" s="12" t="s">
        <v>196</v>
      </c>
      <c r="F102" s="6"/>
      <c r="G102" s="6"/>
      <c r="H102" s="6"/>
      <c r="I102" s="6"/>
      <c r="J102" s="6"/>
      <c r="K102" s="6"/>
      <c r="L102" s="6"/>
      <c r="M102" s="6"/>
    </row>
    <row r="105" spans="2:13" x14ac:dyDescent="0.25">
      <c r="B105" s="3" t="s">
        <v>197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2:13" x14ac:dyDescent="0.25">
      <c r="B106" s="5" t="s">
        <v>198</v>
      </c>
      <c r="C106" s="6"/>
      <c r="D106" s="6"/>
      <c r="E106" s="7" t="s">
        <v>199</v>
      </c>
      <c r="F106" s="6"/>
      <c r="G106" s="6"/>
      <c r="H106" s="6"/>
      <c r="I106" s="6"/>
      <c r="J106" s="6"/>
      <c r="K106" s="6"/>
      <c r="L106" s="6"/>
      <c r="M106" s="6"/>
    </row>
    <row r="107" spans="2:13" x14ac:dyDescent="0.25">
      <c r="B107" s="6"/>
      <c r="C107" s="10" t="s">
        <v>200</v>
      </c>
      <c r="D107" s="6"/>
      <c r="E107" s="11" t="s">
        <v>201</v>
      </c>
      <c r="F107" s="6"/>
      <c r="G107" s="6"/>
      <c r="H107" s="6"/>
      <c r="I107" s="6"/>
      <c r="J107" s="6"/>
      <c r="K107" s="6"/>
      <c r="L107" s="6"/>
      <c r="M107" s="6"/>
    </row>
    <row r="108" spans="2:13" x14ac:dyDescent="0.25">
      <c r="B108" s="6"/>
      <c r="C108" s="6"/>
      <c r="D108" s="10" t="s">
        <v>202</v>
      </c>
      <c r="E108" s="12" t="s">
        <v>203</v>
      </c>
      <c r="F108" s="6"/>
      <c r="G108" s="6"/>
      <c r="H108" s="6"/>
      <c r="I108" s="6"/>
      <c r="J108" s="6"/>
      <c r="K108" s="6"/>
      <c r="L108" s="6"/>
      <c r="M108" s="6"/>
    </row>
    <row r="109" spans="2:13" x14ac:dyDescent="0.25">
      <c r="B109" s="6"/>
      <c r="C109" s="6"/>
      <c r="D109" s="10" t="s">
        <v>204</v>
      </c>
      <c r="E109" s="12" t="s">
        <v>205</v>
      </c>
      <c r="F109" s="6"/>
      <c r="G109" s="6"/>
      <c r="H109" s="6"/>
      <c r="I109" s="6"/>
      <c r="J109" s="6"/>
      <c r="K109" s="6"/>
      <c r="L109" s="6"/>
      <c r="M109" s="6"/>
    </row>
    <row r="110" spans="2:13" x14ac:dyDescent="0.25">
      <c r="B110" s="6"/>
      <c r="C110" s="6"/>
      <c r="D110" s="10" t="s">
        <v>206</v>
      </c>
      <c r="E110" s="12" t="s">
        <v>207</v>
      </c>
      <c r="F110" s="6"/>
      <c r="G110" s="6"/>
      <c r="H110" s="6"/>
      <c r="I110" s="6"/>
      <c r="J110" s="6"/>
      <c r="K110" s="6"/>
      <c r="L110" s="6"/>
      <c r="M110" s="6"/>
    </row>
    <row r="111" spans="2:13" x14ac:dyDescent="0.25">
      <c r="B111" s="6"/>
      <c r="C111" s="6"/>
      <c r="D111" s="10" t="s">
        <v>208</v>
      </c>
      <c r="E111" s="12" t="s">
        <v>209</v>
      </c>
      <c r="F111" s="6"/>
      <c r="G111" s="6"/>
      <c r="H111" s="6"/>
      <c r="I111" s="6"/>
      <c r="J111" s="6"/>
      <c r="K111" s="6"/>
      <c r="L111" s="6"/>
      <c r="M111" s="6"/>
    </row>
    <row r="112" spans="2:13" x14ac:dyDescent="0.25">
      <c r="B112" s="6"/>
      <c r="C112" s="6"/>
      <c r="D112" s="10" t="s">
        <v>210</v>
      </c>
      <c r="E112" s="12" t="s">
        <v>211</v>
      </c>
      <c r="F112" s="6"/>
      <c r="G112" s="6"/>
      <c r="H112" s="6"/>
      <c r="I112" s="6"/>
      <c r="J112" s="6"/>
      <c r="K112" s="6"/>
      <c r="L112" s="6"/>
      <c r="M112" s="6"/>
    </row>
    <row r="113" spans="2:13" x14ac:dyDescent="0.25">
      <c r="B113" s="6"/>
      <c r="C113" s="6"/>
      <c r="D113" s="10" t="s">
        <v>212</v>
      </c>
      <c r="E113" s="12" t="s">
        <v>213</v>
      </c>
      <c r="F113" s="6"/>
      <c r="G113" s="6"/>
      <c r="H113" s="6"/>
      <c r="I113" s="6"/>
      <c r="J113" s="6"/>
      <c r="K113" s="6"/>
      <c r="L113" s="6"/>
      <c r="M113" s="6"/>
    </row>
    <row r="114" spans="2:13" x14ac:dyDescent="0.25">
      <c r="B114" s="6"/>
      <c r="C114" s="6"/>
      <c r="D114" s="10" t="s">
        <v>214</v>
      </c>
      <c r="E114" s="12" t="s">
        <v>215</v>
      </c>
      <c r="F114" s="6"/>
      <c r="G114" s="6"/>
      <c r="H114" s="6"/>
      <c r="I114" s="6"/>
      <c r="J114" s="6"/>
      <c r="K114" s="6"/>
      <c r="L114" s="6"/>
      <c r="M114" s="6"/>
    </row>
    <row r="115" spans="2:13" x14ac:dyDescent="0.25">
      <c r="B115" s="6"/>
      <c r="C115" s="6"/>
      <c r="D115" s="10" t="s">
        <v>216</v>
      </c>
      <c r="E115" s="12" t="s">
        <v>190</v>
      </c>
      <c r="F115" s="6"/>
      <c r="G115" s="6"/>
      <c r="H115" s="6"/>
      <c r="I115" s="6"/>
      <c r="J115" s="6"/>
      <c r="K115" s="6"/>
      <c r="L115" s="6"/>
      <c r="M115" s="6"/>
    </row>
    <row r="116" spans="2:13" x14ac:dyDescent="0.25">
      <c r="B116" s="6"/>
      <c r="C116" s="10" t="s">
        <v>217</v>
      </c>
      <c r="D116" s="6"/>
      <c r="E116" s="11" t="s">
        <v>218</v>
      </c>
      <c r="F116" s="6"/>
      <c r="G116" s="6"/>
      <c r="H116" s="6"/>
      <c r="I116" s="6"/>
      <c r="J116" s="6"/>
      <c r="K116" s="6"/>
      <c r="L116" s="6"/>
      <c r="M116" s="6"/>
    </row>
    <row r="117" spans="2:13" x14ac:dyDescent="0.25">
      <c r="B117" s="6"/>
      <c r="C117" s="6"/>
      <c r="D117" s="10" t="s">
        <v>219</v>
      </c>
      <c r="E117" s="12" t="s">
        <v>220</v>
      </c>
      <c r="F117" s="6"/>
      <c r="G117" s="6"/>
      <c r="H117" s="6"/>
      <c r="I117" s="6"/>
      <c r="J117" s="6"/>
      <c r="K117" s="6"/>
      <c r="L117" s="6"/>
      <c r="M117" s="6"/>
    </row>
    <row r="118" spans="2:13" x14ac:dyDescent="0.25">
      <c r="B118" s="6"/>
      <c r="C118" s="6"/>
      <c r="D118" s="10" t="s">
        <v>221</v>
      </c>
      <c r="E118" s="12" t="s">
        <v>222</v>
      </c>
      <c r="F118" s="6"/>
      <c r="G118" s="6"/>
      <c r="H118" s="6"/>
      <c r="I118" s="6"/>
      <c r="J118" s="6"/>
      <c r="K118" s="6"/>
      <c r="L118" s="6"/>
      <c r="M118" s="6"/>
    </row>
    <row r="119" spans="2:13" x14ac:dyDescent="0.25">
      <c r="B119" s="6"/>
      <c r="C119" s="6"/>
      <c r="D119" s="10" t="s">
        <v>223</v>
      </c>
      <c r="E119" s="12" t="s">
        <v>224</v>
      </c>
      <c r="F119" s="6"/>
      <c r="G119" s="6"/>
      <c r="H119" s="6"/>
      <c r="I119" s="6"/>
      <c r="J119" s="6"/>
      <c r="K119" s="6"/>
      <c r="L119" s="6"/>
      <c r="M119" s="6"/>
    </row>
    <row r="120" spans="2:13" x14ac:dyDescent="0.25">
      <c r="B120" s="5" t="s">
        <v>225</v>
      </c>
      <c r="C120" s="6"/>
      <c r="D120" s="6"/>
      <c r="E120" s="7" t="s">
        <v>226</v>
      </c>
      <c r="F120" s="6"/>
      <c r="G120" s="6"/>
      <c r="H120" s="6"/>
      <c r="I120" s="6"/>
      <c r="J120" s="6"/>
      <c r="K120" s="6"/>
      <c r="L120" s="6"/>
      <c r="M120" s="6"/>
    </row>
    <row r="121" spans="2:13" x14ac:dyDescent="0.25">
      <c r="B121" s="6"/>
      <c r="C121" s="10" t="s">
        <v>227</v>
      </c>
      <c r="D121" s="6"/>
      <c r="E121" s="11" t="s">
        <v>228</v>
      </c>
      <c r="F121" s="6"/>
      <c r="G121" s="6"/>
      <c r="H121" s="6"/>
      <c r="I121" s="6"/>
      <c r="J121" s="6"/>
      <c r="K121" s="6"/>
      <c r="L121" s="6"/>
      <c r="M121" s="6"/>
    </row>
    <row r="122" spans="2:13" x14ac:dyDescent="0.25">
      <c r="B122" s="6"/>
      <c r="C122" s="6"/>
      <c r="D122" s="10" t="s">
        <v>229</v>
      </c>
      <c r="E122" s="12" t="s">
        <v>230</v>
      </c>
      <c r="F122" s="6"/>
      <c r="G122" s="6"/>
      <c r="H122" s="6"/>
      <c r="I122" s="6"/>
      <c r="J122" s="6"/>
      <c r="K122" s="6"/>
      <c r="L122" s="6"/>
      <c r="M122" s="6"/>
    </row>
    <row r="123" spans="2:13" x14ac:dyDescent="0.25">
      <c r="B123" s="6"/>
      <c r="C123" s="6"/>
      <c r="D123" s="10" t="s">
        <v>231</v>
      </c>
      <c r="E123" s="12" t="s">
        <v>232</v>
      </c>
      <c r="F123" s="6"/>
      <c r="G123" s="6"/>
      <c r="H123" s="6"/>
      <c r="I123" s="6"/>
      <c r="J123" s="6"/>
      <c r="K123" s="6"/>
      <c r="L123" s="6"/>
      <c r="M123" s="6"/>
    </row>
    <row r="124" spans="2:13" x14ac:dyDescent="0.25">
      <c r="B124" s="6"/>
      <c r="C124" s="6"/>
      <c r="D124" s="10" t="s">
        <v>233</v>
      </c>
      <c r="E124" s="12" t="s">
        <v>234</v>
      </c>
      <c r="F124" s="6"/>
      <c r="G124" s="6"/>
      <c r="H124" s="6"/>
      <c r="I124" s="6"/>
      <c r="J124" s="6"/>
      <c r="K124" s="6"/>
      <c r="L124" s="6"/>
      <c r="M124" s="6"/>
    </row>
    <row r="125" spans="2:13" x14ac:dyDescent="0.25">
      <c r="B125" s="6"/>
      <c r="C125" s="6"/>
      <c r="D125" s="10" t="s">
        <v>235</v>
      </c>
      <c r="E125" s="12" t="s">
        <v>236</v>
      </c>
      <c r="F125" s="6"/>
      <c r="G125" s="6"/>
      <c r="H125" s="6"/>
      <c r="I125" s="6"/>
      <c r="J125" s="6"/>
      <c r="K125" s="6"/>
      <c r="L125" s="6"/>
      <c r="M125" s="6"/>
    </row>
    <row r="126" spans="2:13" x14ac:dyDescent="0.25">
      <c r="B126" s="6"/>
      <c r="C126" s="6"/>
      <c r="D126" s="10" t="s">
        <v>237</v>
      </c>
      <c r="E126" s="12" t="s">
        <v>238</v>
      </c>
      <c r="F126" s="6"/>
      <c r="G126" s="6"/>
      <c r="H126" s="6"/>
      <c r="I126" s="6"/>
      <c r="J126" s="6"/>
      <c r="K126" s="6"/>
      <c r="L126" s="6"/>
      <c r="M126" s="6"/>
    </row>
    <row r="127" spans="2:13" x14ac:dyDescent="0.25">
      <c r="B127" s="6"/>
      <c r="C127" s="6"/>
      <c r="D127" s="10" t="s">
        <v>239</v>
      </c>
      <c r="E127" s="12" t="s">
        <v>240</v>
      </c>
      <c r="F127" s="6"/>
      <c r="G127" s="6"/>
      <c r="H127" s="6"/>
      <c r="I127" s="6"/>
      <c r="J127" s="6"/>
      <c r="K127" s="6"/>
      <c r="L127" s="6"/>
      <c r="M127" s="6"/>
    </row>
    <row r="128" spans="2:13" x14ac:dyDescent="0.25">
      <c r="B128" s="6"/>
      <c r="C128" s="10" t="s">
        <v>241</v>
      </c>
      <c r="D128" s="6"/>
      <c r="E128" s="11" t="s">
        <v>242</v>
      </c>
      <c r="F128" s="6"/>
      <c r="G128" s="6"/>
      <c r="H128" s="6"/>
      <c r="I128" s="6"/>
      <c r="J128" s="6"/>
      <c r="K128" s="6"/>
      <c r="L128" s="6"/>
      <c r="M128" s="6"/>
    </row>
    <row r="129" spans="2:13" x14ac:dyDescent="0.25">
      <c r="B129" s="6"/>
      <c r="C129" s="6"/>
      <c r="D129" s="10" t="s">
        <v>243</v>
      </c>
      <c r="E129" s="12" t="s">
        <v>242</v>
      </c>
      <c r="F129" s="6"/>
      <c r="G129" s="6"/>
      <c r="H129" s="6"/>
      <c r="I129" s="6"/>
      <c r="J129" s="6"/>
      <c r="K129" s="6"/>
      <c r="L129" s="6"/>
      <c r="M129" s="6"/>
    </row>
    <row r="130" spans="2:13" x14ac:dyDescent="0.25">
      <c r="B130" s="5" t="s">
        <v>244</v>
      </c>
      <c r="C130" s="6"/>
      <c r="D130" s="6"/>
      <c r="E130" s="7" t="s">
        <v>245</v>
      </c>
      <c r="F130" s="6"/>
      <c r="G130" s="6"/>
      <c r="H130" s="6"/>
      <c r="I130" s="6"/>
      <c r="J130" s="6"/>
      <c r="K130" s="6"/>
      <c r="L130" s="6"/>
      <c r="M130" s="6"/>
    </row>
    <row r="131" spans="2:13" x14ac:dyDescent="0.25">
      <c r="B131" s="6"/>
      <c r="C131" s="10" t="s">
        <v>246</v>
      </c>
      <c r="D131" s="6"/>
      <c r="E131" s="11" t="s">
        <v>247</v>
      </c>
      <c r="F131" s="6"/>
      <c r="G131" s="6"/>
      <c r="H131" s="6"/>
      <c r="I131" s="6"/>
      <c r="J131" s="6"/>
      <c r="K131" s="6"/>
      <c r="L131" s="6"/>
      <c r="M131" s="6"/>
    </row>
    <row r="132" spans="2:13" x14ac:dyDescent="0.25">
      <c r="B132" s="6"/>
      <c r="C132" s="6"/>
      <c r="D132" s="10" t="s">
        <v>248</v>
      </c>
      <c r="E132" s="12" t="s">
        <v>249</v>
      </c>
      <c r="F132" s="6"/>
      <c r="G132" s="6"/>
      <c r="H132" s="6"/>
      <c r="I132" s="6"/>
      <c r="J132" s="6"/>
      <c r="K132" s="6"/>
      <c r="L132" s="6"/>
      <c r="M132" s="6"/>
    </row>
    <row r="133" spans="2:13" x14ac:dyDescent="0.25">
      <c r="B133" s="6"/>
      <c r="C133" s="6"/>
      <c r="D133" s="10" t="s">
        <v>250</v>
      </c>
      <c r="E133" s="12" t="s">
        <v>251</v>
      </c>
      <c r="F133" s="6"/>
      <c r="G133" s="6"/>
      <c r="H133" s="6"/>
      <c r="I133" s="6"/>
      <c r="J133" s="6"/>
      <c r="K133" s="6"/>
      <c r="L133" s="6"/>
      <c r="M133" s="6"/>
    </row>
    <row r="134" spans="2:13" x14ac:dyDescent="0.25">
      <c r="B134" s="6"/>
      <c r="C134" s="6"/>
      <c r="D134" s="10" t="s">
        <v>252</v>
      </c>
      <c r="E134" s="12" t="s">
        <v>253</v>
      </c>
      <c r="F134" s="6"/>
      <c r="G134" s="6"/>
      <c r="H134" s="6"/>
      <c r="I134" s="6"/>
      <c r="J134" s="6"/>
      <c r="K134" s="6"/>
      <c r="L134" s="6"/>
      <c r="M134" s="6"/>
    </row>
    <row r="135" spans="2:13" x14ac:dyDescent="0.25">
      <c r="B135" s="6"/>
      <c r="C135" s="10" t="s">
        <v>254</v>
      </c>
      <c r="D135" s="6"/>
      <c r="E135" s="11" t="s">
        <v>255</v>
      </c>
      <c r="F135" s="6"/>
      <c r="G135" s="6"/>
      <c r="H135" s="6"/>
      <c r="I135" s="6"/>
      <c r="J135" s="6"/>
      <c r="K135" s="6"/>
      <c r="L135" s="6"/>
      <c r="M135" s="6"/>
    </row>
    <row r="136" spans="2:13" x14ac:dyDescent="0.25">
      <c r="B136" s="6"/>
      <c r="C136" s="6"/>
      <c r="D136" s="10" t="s">
        <v>256</v>
      </c>
      <c r="E136" s="12" t="s">
        <v>257</v>
      </c>
      <c r="F136" s="6"/>
      <c r="G136" s="6"/>
      <c r="H136" s="6"/>
      <c r="I136" s="6"/>
      <c r="J136" s="6"/>
      <c r="K136" s="6"/>
      <c r="L136" s="6"/>
      <c r="M136" s="6"/>
    </row>
    <row r="137" spans="2:13" x14ac:dyDescent="0.25">
      <c r="B137" s="6"/>
      <c r="C137" s="6"/>
      <c r="D137" s="10" t="s">
        <v>258</v>
      </c>
      <c r="E137" s="12" t="s">
        <v>259</v>
      </c>
      <c r="F137" s="6"/>
      <c r="G137" s="6"/>
      <c r="H137" s="6"/>
      <c r="I137" s="6"/>
      <c r="J137" s="6"/>
      <c r="K137" s="6"/>
      <c r="L137" s="6"/>
      <c r="M137" s="6"/>
    </row>
    <row r="138" spans="2:13" x14ac:dyDescent="0.25">
      <c r="B138" s="6"/>
      <c r="C138" s="6"/>
      <c r="D138" s="10" t="s">
        <v>260</v>
      </c>
      <c r="E138" s="12" t="s">
        <v>261</v>
      </c>
      <c r="F138" s="6"/>
      <c r="G138" s="6"/>
      <c r="H138" s="6"/>
      <c r="I138" s="6"/>
      <c r="J138" s="6"/>
      <c r="K138" s="6"/>
      <c r="L138" s="6"/>
      <c r="M138" s="6"/>
    </row>
    <row r="139" spans="2:13" x14ac:dyDescent="0.25">
      <c r="B139" s="6"/>
      <c r="C139" s="6"/>
      <c r="D139" s="10" t="s">
        <v>262</v>
      </c>
      <c r="E139" s="12" t="s">
        <v>263</v>
      </c>
      <c r="F139" s="6"/>
      <c r="G139" s="6"/>
      <c r="H139" s="6"/>
      <c r="I139" s="6"/>
      <c r="J139" s="6"/>
      <c r="K139" s="6"/>
      <c r="L139" s="6"/>
      <c r="M139" s="6"/>
    </row>
    <row r="140" spans="2:13" x14ac:dyDescent="0.25">
      <c r="B140" s="6"/>
      <c r="C140" s="6"/>
      <c r="D140" s="10" t="s">
        <v>264</v>
      </c>
      <c r="E140" s="12" t="s">
        <v>265</v>
      </c>
      <c r="F140" s="6"/>
      <c r="G140" s="6"/>
      <c r="H140" s="6"/>
      <c r="I140" s="6"/>
      <c r="J140" s="6"/>
      <c r="K140" s="6"/>
      <c r="L140" s="6"/>
      <c r="M140" s="6"/>
    </row>
    <row r="141" spans="2:13" x14ac:dyDescent="0.25">
      <c r="B141" s="6"/>
      <c r="C141" s="6"/>
      <c r="D141" s="10" t="s">
        <v>266</v>
      </c>
      <c r="E141" s="12" t="s">
        <v>267</v>
      </c>
      <c r="F141" s="6"/>
      <c r="G141" s="6"/>
      <c r="H141" s="6"/>
      <c r="I141" s="6"/>
      <c r="J141" s="6"/>
      <c r="K141" s="6"/>
      <c r="L141" s="6"/>
      <c r="M141" s="6"/>
    </row>
    <row r="142" spans="2:13" x14ac:dyDescent="0.25">
      <c r="B142" s="6"/>
      <c r="C142" s="6"/>
      <c r="D142" s="10" t="s">
        <v>268</v>
      </c>
      <c r="E142" s="12" t="s">
        <v>269</v>
      </c>
      <c r="F142" s="6"/>
      <c r="G142" s="6"/>
      <c r="H142" s="6"/>
      <c r="I142" s="6"/>
      <c r="J142" s="6"/>
      <c r="K142" s="6"/>
      <c r="L142" s="6"/>
      <c r="M142" s="6"/>
    </row>
    <row r="143" spans="2:13" x14ac:dyDescent="0.25">
      <c r="B143" s="6"/>
      <c r="C143" s="10" t="s">
        <v>270</v>
      </c>
      <c r="D143" s="6"/>
      <c r="E143" s="11" t="s">
        <v>271</v>
      </c>
      <c r="F143" s="6"/>
      <c r="G143" s="6"/>
      <c r="H143" s="6"/>
      <c r="I143" s="6"/>
      <c r="J143" s="6"/>
      <c r="K143" s="6"/>
      <c r="L143" s="6"/>
      <c r="M143" s="6"/>
    </row>
    <row r="144" spans="2:13" x14ac:dyDescent="0.25">
      <c r="B144" s="6"/>
      <c r="C144" s="6"/>
      <c r="D144" s="10" t="s">
        <v>272</v>
      </c>
      <c r="E144" s="12" t="s">
        <v>273</v>
      </c>
      <c r="F144" s="6"/>
      <c r="G144" s="6"/>
      <c r="H144" s="6"/>
      <c r="I144" s="6"/>
      <c r="J144" s="6"/>
      <c r="K144" s="6"/>
      <c r="L144" s="6"/>
      <c r="M144" s="6"/>
    </row>
    <row r="145" spans="2:13" x14ac:dyDescent="0.25">
      <c r="B145" s="6"/>
      <c r="C145" s="6"/>
      <c r="D145" s="10" t="s">
        <v>274</v>
      </c>
      <c r="E145" s="12" t="s">
        <v>275</v>
      </c>
      <c r="F145" s="6"/>
      <c r="G145" s="6"/>
      <c r="H145" s="6"/>
      <c r="I145" s="6"/>
      <c r="J145" s="6"/>
      <c r="K145" s="6"/>
      <c r="L145" s="6"/>
      <c r="M145" s="6"/>
    </row>
    <row r="146" spans="2:13" x14ac:dyDescent="0.25">
      <c r="B146" s="6"/>
      <c r="C146" s="6"/>
      <c r="D146" s="10" t="s">
        <v>276</v>
      </c>
      <c r="E146" s="12" t="s">
        <v>277</v>
      </c>
      <c r="F146" s="6"/>
      <c r="G146" s="6"/>
      <c r="H146" s="6"/>
      <c r="I146" s="6"/>
      <c r="J146" s="6"/>
      <c r="K146" s="6"/>
      <c r="L146" s="6"/>
      <c r="M146" s="6"/>
    </row>
    <row r="147" spans="2:13" x14ac:dyDescent="0.25">
      <c r="B147" s="6"/>
      <c r="C147" s="6"/>
      <c r="D147" s="10" t="s">
        <v>278</v>
      </c>
      <c r="E147" s="12" t="s">
        <v>279</v>
      </c>
      <c r="F147" s="6"/>
      <c r="G147" s="6"/>
      <c r="H147" s="6"/>
      <c r="I147" s="6"/>
      <c r="J147" s="6"/>
      <c r="K147" s="6"/>
      <c r="L147" s="6"/>
      <c r="M147" s="6"/>
    </row>
    <row r="148" spans="2:13" x14ac:dyDescent="0.25">
      <c r="B148" s="6"/>
      <c r="C148" s="6"/>
      <c r="D148" s="10" t="s">
        <v>280</v>
      </c>
      <c r="E148" s="12" t="s">
        <v>281</v>
      </c>
      <c r="F148" s="6"/>
      <c r="G148" s="6"/>
      <c r="H148" s="6"/>
      <c r="I148" s="6"/>
      <c r="J148" s="6"/>
      <c r="K148" s="6"/>
      <c r="L148" s="6"/>
      <c r="M148" s="6"/>
    </row>
    <row r="149" spans="2:13" x14ac:dyDescent="0.25">
      <c r="B149" s="5" t="s">
        <v>282</v>
      </c>
      <c r="C149" s="6"/>
      <c r="D149" s="6"/>
      <c r="E149" s="7" t="s">
        <v>283</v>
      </c>
      <c r="F149" s="6"/>
      <c r="G149" s="6"/>
      <c r="H149" s="6"/>
      <c r="I149" s="6"/>
      <c r="J149" s="6"/>
      <c r="K149" s="6"/>
      <c r="L149" s="6"/>
      <c r="M149" s="6"/>
    </row>
    <row r="150" spans="2:13" x14ac:dyDescent="0.25">
      <c r="B150" s="6"/>
      <c r="C150" s="10" t="s">
        <v>284</v>
      </c>
      <c r="D150" s="6"/>
      <c r="E150" s="11" t="s">
        <v>285</v>
      </c>
      <c r="F150" s="6"/>
      <c r="G150" s="6"/>
      <c r="H150" s="6"/>
      <c r="I150" s="6"/>
      <c r="J150" s="6"/>
      <c r="K150" s="6"/>
      <c r="L150" s="6"/>
      <c r="M150" s="6"/>
    </row>
    <row r="151" spans="2:13" x14ac:dyDescent="0.25">
      <c r="B151" s="6"/>
      <c r="C151" s="6"/>
      <c r="D151" s="10" t="s">
        <v>286</v>
      </c>
      <c r="E151" s="12" t="s">
        <v>287</v>
      </c>
      <c r="F151" s="6"/>
      <c r="G151" s="6"/>
      <c r="H151" s="6"/>
      <c r="I151" s="6"/>
      <c r="J151" s="6"/>
      <c r="K151" s="6"/>
      <c r="L151" s="6"/>
      <c r="M151" s="6"/>
    </row>
    <row r="152" spans="2:13" x14ac:dyDescent="0.25">
      <c r="B152" s="6"/>
      <c r="C152" s="6"/>
      <c r="D152" s="10" t="s">
        <v>288</v>
      </c>
      <c r="E152" s="12" t="s">
        <v>289</v>
      </c>
      <c r="F152" s="6"/>
      <c r="G152" s="6"/>
      <c r="H152" s="6"/>
      <c r="I152" s="6"/>
      <c r="J152" s="6"/>
      <c r="K152" s="6"/>
      <c r="L152" s="6"/>
      <c r="M152" s="6"/>
    </row>
    <row r="153" spans="2:13" x14ac:dyDescent="0.25">
      <c r="B153" s="6"/>
      <c r="C153" s="10" t="s">
        <v>290</v>
      </c>
      <c r="D153" s="6"/>
      <c r="E153" s="11" t="s">
        <v>291</v>
      </c>
      <c r="F153" s="6"/>
      <c r="G153" s="6"/>
      <c r="H153" s="6"/>
      <c r="I153" s="6"/>
      <c r="J153" s="6"/>
      <c r="K153" s="6"/>
      <c r="L153" s="6"/>
      <c r="M153" s="6"/>
    </row>
    <row r="154" spans="2:13" x14ac:dyDescent="0.25">
      <c r="B154" s="6"/>
      <c r="C154" s="6"/>
      <c r="D154" s="10" t="s">
        <v>292</v>
      </c>
      <c r="E154" s="12" t="s">
        <v>287</v>
      </c>
      <c r="F154" s="6"/>
      <c r="G154" s="6"/>
      <c r="H154" s="6"/>
      <c r="I154" s="6"/>
      <c r="J154" s="6"/>
      <c r="K154" s="6"/>
      <c r="L154" s="6"/>
      <c r="M154" s="6"/>
    </row>
    <row r="155" spans="2:13" x14ac:dyDescent="0.25">
      <c r="B155" s="6"/>
      <c r="C155" s="6"/>
      <c r="D155" s="10" t="s">
        <v>293</v>
      </c>
      <c r="E155" s="12" t="s">
        <v>289</v>
      </c>
      <c r="F155" s="6"/>
      <c r="G155" s="6"/>
      <c r="H155" s="6"/>
      <c r="I155" s="6"/>
      <c r="J155" s="6"/>
      <c r="K155" s="6"/>
      <c r="L155" s="6"/>
      <c r="M155" s="6"/>
    </row>
    <row r="156" spans="2:13" x14ac:dyDescent="0.25">
      <c r="B156" s="6"/>
      <c r="C156" s="10" t="s">
        <v>294</v>
      </c>
      <c r="D156" s="6"/>
      <c r="E156" s="11" t="s">
        <v>295</v>
      </c>
      <c r="F156" s="6"/>
      <c r="G156" s="6"/>
      <c r="H156" s="6"/>
      <c r="I156" s="6"/>
      <c r="J156" s="6"/>
      <c r="K156" s="6"/>
      <c r="L156" s="6"/>
      <c r="M156" s="6"/>
    </row>
    <row r="157" spans="2:13" x14ac:dyDescent="0.25">
      <c r="B157" s="6"/>
      <c r="C157" s="6"/>
      <c r="D157" s="10" t="s">
        <v>296</v>
      </c>
      <c r="E157" s="12" t="s">
        <v>295</v>
      </c>
      <c r="F157" s="6"/>
      <c r="G157" s="6"/>
      <c r="H157" s="6"/>
      <c r="I157" s="6"/>
      <c r="J157" s="6"/>
      <c r="K157" s="6"/>
      <c r="L157" s="6"/>
      <c r="M157" s="6"/>
    </row>
    <row r="158" spans="2:13" x14ac:dyDescent="0.25">
      <c r="B158" s="6"/>
      <c r="C158" s="10" t="s">
        <v>297</v>
      </c>
      <c r="D158" s="6"/>
      <c r="E158" s="11" t="s">
        <v>298</v>
      </c>
      <c r="F158" s="6"/>
      <c r="G158" s="6"/>
      <c r="H158" s="6"/>
      <c r="I158" s="6"/>
      <c r="J158" s="6"/>
      <c r="K158" s="6"/>
      <c r="L158" s="6"/>
      <c r="M158" s="6"/>
    </row>
    <row r="159" spans="2:13" x14ac:dyDescent="0.25">
      <c r="B159" s="6"/>
      <c r="C159" s="6"/>
      <c r="D159" s="10" t="s">
        <v>299</v>
      </c>
      <c r="E159" s="12" t="s">
        <v>298</v>
      </c>
      <c r="F159" s="6"/>
      <c r="G159" s="6"/>
      <c r="H159" s="6"/>
      <c r="I159" s="6"/>
      <c r="J159" s="6"/>
      <c r="K159" s="6"/>
      <c r="L159" s="6"/>
      <c r="M159" s="6"/>
    </row>
    <row r="160" spans="2:13" x14ac:dyDescent="0.25">
      <c r="B160" s="6"/>
      <c r="C160" s="10" t="s">
        <v>300</v>
      </c>
      <c r="D160" s="6"/>
      <c r="E160" s="11" t="s">
        <v>301</v>
      </c>
      <c r="F160" s="6"/>
      <c r="G160" s="6"/>
      <c r="H160" s="6"/>
      <c r="I160" s="6"/>
      <c r="J160" s="6"/>
      <c r="K160" s="6"/>
      <c r="L160" s="6"/>
      <c r="M160" s="6"/>
    </row>
    <row r="161" spans="2:13" x14ac:dyDescent="0.25">
      <c r="B161" s="6"/>
      <c r="C161" s="6"/>
      <c r="D161" s="10" t="s">
        <v>302</v>
      </c>
      <c r="E161" s="12" t="s">
        <v>301</v>
      </c>
      <c r="F161" s="6"/>
      <c r="G161" s="6"/>
      <c r="H161" s="6"/>
      <c r="I161" s="6"/>
      <c r="J161" s="6"/>
      <c r="K161" s="6"/>
      <c r="L161" s="6"/>
      <c r="M161" s="6"/>
    </row>
    <row r="162" spans="2:13" x14ac:dyDescent="0.25">
      <c r="B162" s="6"/>
      <c r="C162" s="6"/>
      <c r="D162" s="10" t="s">
        <v>303</v>
      </c>
      <c r="E162" s="12" t="s">
        <v>304</v>
      </c>
      <c r="F162" s="6"/>
      <c r="G162" s="6"/>
      <c r="H162" s="6"/>
      <c r="I162" s="6"/>
      <c r="J162" s="6"/>
      <c r="K162" s="6"/>
      <c r="L162" s="6"/>
      <c r="M162" s="6"/>
    </row>
  </sheetData>
  <mergeCells count="4">
    <mergeCell ref="B2:M2"/>
    <mergeCell ref="E4:H4"/>
    <mergeCell ref="B6:M6"/>
    <mergeCell ref="B105:M10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278"/>
  <sheetFormatPr defaultRowHeight="15" outlineLevelRow="0" outlineLevelCol="0" x14ac:dyDescent="55"/>
  <cols>
    <col min="2" max="4" width="12" customWidth="1"/>
    <col min="5" max="5" width="50" customWidth="1"/>
    <col min="6" max="14" width="15" customWidth="1"/>
  </cols>
  <sheetData>
    <row r="2" spans="2:14" x14ac:dyDescent="0.25">
      <c r="B2" s="1" t="s">
        <v>305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4" spans="5:8" x14ac:dyDescent="0.25">
      <c r="E4" s="2" t="s">
        <v>1</v>
      </c>
      <c r="F4" s="2"/>
      <c r="G4" s="2"/>
      <c r="H4" s="2"/>
    </row>
    <row r="6" spans="2:14" x14ac:dyDescent="0.25">
      <c r="B6" s="3" t="s">
        <v>306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2:14" x14ac:dyDescent="0.25">
      <c r="B7" s="4" t="s">
        <v>3</v>
      </c>
      <c r="E7" s="4" t="s">
        <v>4</v>
      </c>
      <c r="F7" s="4" t="s">
        <v>5</v>
      </c>
      <c r="G7" s="4" t="s">
        <v>6</v>
      </c>
      <c r="H7" s="4" t="s">
        <v>7</v>
      </c>
      <c r="I7" s="4" t="s">
        <v>8</v>
      </c>
      <c r="J7" s="4" t="s">
        <v>307</v>
      </c>
      <c r="K7" s="4" t="s">
        <v>308</v>
      </c>
      <c r="L7" s="4" t="s">
        <v>309</v>
      </c>
      <c r="M7" s="4" t="s">
        <v>310</v>
      </c>
      <c r="N7" s="4" t="s">
        <v>12</v>
      </c>
    </row>
    <row r="8" spans="2:14" x14ac:dyDescent="0.25">
      <c r="B8" s="5" t="s">
        <v>311</v>
      </c>
      <c r="C8" s="6"/>
      <c r="D8" s="6"/>
      <c r="E8" s="7" t="s">
        <v>312</v>
      </c>
      <c r="F8" s="8">
        <v>18000000</v>
      </c>
      <c r="G8" s="8">
        <v>1000000</v>
      </c>
      <c r="H8" s="8">
        <v>200000</v>
      </c>
      <c r="I8" s="8">
        <f>F8+G8+H8</f>
      </c>
      <c r="J8" s="8">
        <v>19000000</v>
      </c>
      <c r="K8" s="8">
        <v>18800000</v>
      </c>
      <c r="L8" s="8">
        <v>18500000</v>
      </c>
      <c r="M8" s="8">
        <f>K8-L8</f>
      </c>
      <c r="N8" s="9">
        <f>IF(I8=0,0,K8/I8)</f>
      </c>
    </row>
    <row r="9" spans="2:14" x14ac:dyDescent="0.25">
      <c r="B9" s="6"/>
      <c r="C9" s="10" t="s">
        <v>313</v>
      </c>
      <c r="D9" s="6"/>
      <c r="E9" s="11" t="s">
        <v>314</v>
      </c>
      <c r="F9" s="6"/>
      <c r="G9" s="6"/>
      <c r="H9" s="6"/>
      <c r="I9" s="6"/>
      <c r="J9" s="6"/>
      <c r="K9" s="6"/>
      <c r="L9" s="6"/>
      <c r="M9" s="6"/>
      <c r="N9" s="6"/>
    </row>
    <row r="10" spans="2:14" x14ac:dyDescent="0.25">
      <c r="B10" s="6"/>
      <c r="C10" s="6"/>
      <c r="D10" s="10" t="s">
        <v>315</v>
      </c>
      <c r="E10" s="12" t="s">
        <v>316</v>
      </c>
      <c r="F10" s="6"/>
      <c r="G10" s="6"/>
      <c r="H10" s="6"/>
      <c r="I10" s="6"/>
      <c r="J10" s="6"/>
      <c r="K10" s="6"/>
      <c r="L10" s="6"/>
      <c r="M10" s="6"/>
      <c r="N10" s="6"/>
    </row>
    <row r="11" spans="2:14" x14ac:dyDescent="0.25">
      <c r="B11" s="6"/>
      <c r="C11" s="6"/>
      <c r="D11" s="10" t="s">
        <v>317</v>
      </c>
      <c r="E11" s="12" t="s">
        <v>318</v>
      </c>
      <c r="F11" s="6"/>
      <c r="G11" s="6"/>
      <c r="H11" s="6"/>
      <c r="I11" s="6"/>
      <c r="J11" s="6"/>
      <c r="K11" s="6"/>
      <c r="L11" s="6"/>
      <c r="M11" s="6"/>
      <c r="N11" s="6"/>
    </row>
    <row r="12" spans="2:14" x14ac:dyDescent="0.25">
      <c r="B12" s="6"/>
      <c r="C12" s="10" t="s">
        <v>319</v>
      </c>
      <c r="D12" s="6"/>
      <c r="E12" s="11" t="s">
        <v>320</v>
      </c>
      <c r="F12" s="6"/>
      <c r="G12" s="6"/>
      <c r="H12" s="6"/>
      <c r="I12" s="6"/>
      <c r="J12" s="6"/>
      <c r="K12" s="6"/>
      <c r="L12" s="6"/>
      <c r="M12" s="6"/>
      <c r="N12" s="6"/>
    </row>
    <row r="13" spans="2:14" x14ac:dyDescent="0.25">
      <c r="B13" s="6"/>
      <c r="C13" s="6"/>
      <c r="D13" s="10" t="s">
        <v>321</v>
      </c>
      <c r="E13" s="12" t="s">
        <v>316</v>
      </c>
      <c r="F13" s="6"/>
      <c r="G13" s="6"/>
      <c r="H13" s="6"/>
      <c r="I13" s="6"/>
      <c r="J13" s="6"/>
      <c r="K13" s="6"/>
      <c r="L13" s="6"/>
      <c r="M13" s="6"/>
      <c r="N13" s="6"/>
    </row>
    <row r="14" spans="2:14" x14ac:dyDescent="0.25">
      <c r="B14" s="6"/>
      <c r="C14" s="6"/>
      <c r="D14" s="10" t="s">
        <v>322</v>
      </c>
      <c r="E14" s="12" t="s">
        <v>318</v>
      </c>
      <c r="F14" s="6"/>
      <c r="G14" s="6"/>
      <c r="H14" s="6"/>
      <c r="I14" s="6"/>
      <c r="J14" s="6"/>
      <c r="K14" s="6"/>
      <c r="L14" s="6"/>
      <c r="M14" s="6"/>
      <c r="N14" s="6"/>
    </row>
    <row r="15" spans="2:14" x14ac:dyDescent="0.25">
      <c r="B15" s="6"/>
      <c r="C15" s="10" t="s">
        <v>323</v>
      </c>
      <c r="D15" s="6"/>
      <c r="E15" s="11" t="s">
        <v>324</v>
      </c>
      <c r="F15" s="6"/>
      <c r="G15" s="6"/>
      <c r="H15" s="6"/>
      <c r="I15" s="6"/>
      <c r="J15" s="6"/>
      <c r="K15" s="6"/>
      <c r="L15" s="6"/>
      <c r="M15" s="6"/>
      <c r="N15" s="6"/>
    </row>
    <row r="16" spans="2:14" x14ac:dyDescent="0.25">
      <c r="B16" s="6"/>
      <c r="C16" s="6"/>
      <c r="D16" s="10" t="s">
        <v>325</v>
      </c>
      <c r="E16" s="12" t="s">
        <v>316</v>
      </c>
      <c r="F16" s="6"/>
      <c r="G16" s="6"/>
      <c r="H16" s="6"/>
      <c r="I16" s="6"/>
      <c r="J16" s="6"/>
      <c r="K16" s="6"/>
      <c r="L16" s="6"/>
      <c r="M16" s="6"/>
      <c r="N16" s="6"/>
    </row>
    <row r="17" spans="2:14" x14ac:dyDescent="0.25">
      <c r="B17" s="6"/>
      <c r="C17" s="6"/>
      <c r="D17" s="10" t="s">
        <v>326</v>
      </c>
      <c r="E17" s="12" t="s">
        <v>318</v>
      </c>
      <c r="F17" s="6"/>
      <c r="G17" s="6"/>
      <c r="H17" s="6"/>
      <c r="I17" s="6"/>
      <c r="J17" s="6"/>
      <c r="K17" s="6"/>
      <c r="L17" s="6"/>
      <c r="M17" s="6"/>
      <c r="N17" s="6"/>
    </row>
    <row r="18" spans="2:14" x14ac:dyDescent="0.25">
      <c r="B18" s="6"/>
      <c r="C18" s="10" t="s">
        <v>327</v>
      </c>
      <c r="D18" s="6"/>
      <c r="E18" s="11" t="s">
        <v>328</v>
      </c>
      <c r="F18" s="6"/>
      <c r="G18" s="6"/>
      <c r="H18" s="6"/>
      <c r="I18" s="6"/>
      <c r="J18" s="6"/>
      <c r="K18" s="6"/>
      <c r="L18" s="6"/>
      <c r="M18" s="6"/>
      <c r="N18" s="6"/>
    </row>
    <row r="19" spans="2:14" x14ac:dyDescent="0.25">
      <c r="B19" s="6"/>
      <c r="C19" s="6"/>
      <c r="D19" s="10" t="s">
        <v>329</v>
      </c>
      <c r="E19" s="12" t="s">
        <v>316</v>
      </c>
      <c r="F19" s="6"/>
      <c r="G19" s="6"/>
      <c r="H19" s="6"/>
      <c r="I19" s="6"/>
      <c r="J19" s="6"/>
      <c r="K19" s="6"/>
      <c r="L19" s="6"/>
      <c r="M19" s="6"/>
      <c r="N19" s="6"/>
    </row>
    <row r="20" spans="2:14" x14ac:dyDescent="0.25">
      <c r="B20" s="6"/>
      <c r="C20" s="6"/>
      <c r="D20" s="10" t="s">
        <v>330</v>
      </c>
      <c r="E20" s="12" t="s">
        <v>318</v>
      </c>
      <c r="F20" s="6"/>
      <c r="G20" s="6"/>
      <c r="H20" s="6"/>
      <c r="I20" s="6"/>
      <c r="J20" s="6"/>
      <c r="K20" s="6"/>
      <c r="L20" s="6"/>
      <c r="M20" s="6"/>
      <c r="N20" s="6"/>
    </row>
    <row r="21" spans="2:14" x14ac:dyDescent="0.25">
      <c r="B21" s="6"/>
      <c r="C21" s="10" t="s">
        <v>331</v>
      </c>
      <c r="D21" s="6"/>
      <c r="E21" s="11" t="s">
        <v>332</v>
      </c>
      <c r="F21" s="6"/>
      <c r="G21" s="6"/>
      <c r="H21" s="6"/>
      <c r="I21" s="6"/>
      <c r="J21" s="6"/>
      <c r="K21" s="6"/>
      <c r="L21" s="6"/>
      <c r="M21" s="6"/>
      <c r="N21" s="6"/>
    </row>
    <row r="22" spans="2:14" x14ac:dyDescent="0.25">
      <c r="B22" s="6"/>
      <c r="C22" s="6"/>
      <c r="D22" s="10" t="s">
        <v>333</v>
      </c>
      <c r="E22" s="12" t="s">
        <v>334</v>
      </c>
      <c r="F22" s="6"/>
      <c r="G22" s="6"/>
      <c r="H22" s="6"/>
      <c r="I22" s="6"/>
      <c r="J22" s="6"/>
      <c r="K22" s="6"/>
      <c r="L22" s="6"/>
      <c r="M22" s="6"/>
      <c r="N22" s="6"/>
    </row>
    <row r="23" spans="2:14" x14ac:dyDescent="0.25">
      <c r="B23" s="6"/>
      <c r="C23" s="6"/>
      <c r="D23" s="10" t="s">
        <v>335</v>
      </c>
      <c r="E23" s="12" t="s">
        <v>336</v>
      </c>
      <c r="F23" s="6"/>
      <c r="G23" s="6"/>
      <c r="H23" s="6"/>
      <c r="I23" s="6"/>
      <c r="J23" s="6"/>
      <c r="K23" s="6"/>
      <c r="L23" s="6"/>
      <c r="M23" s="6"/>
      <c r="N23" s="6"/>
    </row>
    <row r="24" spans="2:14" x14ac:dyDescent="0.25">
      <c r="B24" s="6"/>
      <c r="C24" s="6"/>
      <c r="D24" s="10" t="s">
        <v>337</v>
      </c>
      <c r="E24" s="12" t="s">
        <v>338</v>
      </c>
      <c r="F24" s="6"/>
      <c r="G24" s="6"/>
      <c r="H24" s="6"/>
      <c r="I24" s="6"/>
      <c r="J24" s="6"/>
      <c r="K24" s="6"/>
      <c r="L24" s="6"/>
      <c r="M24" s="6"/>
      <c r="N24" s="6"/>
    </row>
    <row r="25" spans="2:14" x14ac:dyDescent="0.25">
      <c r="B25" s="6"/>
      <c r="C25" s="6"/>
      <c r="D25" s="10" t="s">
        <v>339</v>
      </c>
      <c r="E25" s="12" t="s">
        <v>340</v>
      </c>
      <c r="F25" s="6"/>
      <c r="G25" s="6"/>
      <c r="H25" s="6"/>
      <c r="I25" s="6"/>
      <c r="J25" s="6"/>
      <c r="K25" s="6"/>
      <c r="L25" s="6"/>
      <c r="M25" s="6"/>
      <c r="N25" s="6"/>
    </row>
    <row r="26" spans="2:14" x14ac:dyDescent="0.25">
      <c r="B26" s="6"/>
      <c r="C26" s="6"/>
      <c r="D26" s="10" t="s">
        <v>341</v>
      </c>
      <c r="E26" s="12" t="s">
        <v>342</v>
      </c>
      <c r="F26" s="6"/>
      <c r="G26" s="6"/>
      <c r="H26" s="6"/>
      <c r="I26" s="6"/>
      <c r="J26" s="6"/>
      <c r="K26" s="6"/>
      <c r="L26" s="6"/>
      <c r="M26" s="6"/>
      <c r="N26" s="6"/>
    </row>
    <row r="27" spans="2:14" x14ac:dyDescent="0.25">
      <c r="B27" s="5" t="s">
        <v>343</v>
      </c>
      <c r="C27" s="6"/>
      <c r="D27" s="6"/>
      <c r="E27" s="7" t="s">
        <v>344</v>
      </c>
      <c r="F27" s="8">
        <v>5000000</v>
      </c>
      <c r="G27" s="8">
        <v>300000</v>
      </c>
      <c r="H27" s="8">
        <v>0</v>
      </c>
      <c r="I27" s="8">
        <f>F27+G27+H27</f>
      </c>
      <c r="J27" s="8">
        <v>5200000</v>
      </c>
      <c r="K27" s="8">
        <v>5100000</v>
      </c>
      <c r="L27" s="8">
        <v>4900000</v>
      </c>
      <c r="M27" s="8">
        <f>K27-L27</f>
      </c>
      <c r="N27" s="9">
        <f>IF(I27=0,0,K27/I27)</f>
      </c>
    </row>
    <row r="28" spans="2:14" x14ac:dyDescent="0.25">
      <c r="B28" s="6"/>
      <c r="C28" s="10" t="s">
        <v>345</v>
      </c>
      <c r="D28" s="6"/>
      <c r="E28" s="11" t="s">
        <v>346</v>
      </c>
      <c r="F28" s="6"/>
      <c r="G28" s="6"/>
      <c r="H28" s="6"/>
      <c r="I28" s="6"/>
      <c r="J28" s="6"/>
      <c r="K28" s="6"/>
      <c r="L28" s="6"/>
      <c r="M28" s="6"/>
      <c r="N28" s="6"/>
    </row>
    <row r="29" spans="2:14" x14ac:dyDescent="0.25">
      <c r="B29" s="6"/>
      <c r="C29" s="6"/>
      <c r="D29" s="10" t="s">
        <v>347</v>
      </c>
      <c r="E29" s="12" t="s">
        <v>348</v>
      </c>
      <c r="F29" s="6"/>
      <c r="G29" s="6"/>
      <c r="H29" s="6"/>
      <c r="I29" s="6"/>
      <c r="J29" s="6"/>
      <c r="K29" s="6"/>
      <c r="L29" s="6"/>
      <c r="M29" s="6"/>
      <c r="N29" s="6"/>
    </row>
    <row r="30" spans="2:14" x14ac:dyDescent="0.25">
      <c r="B30" s="6"/>
      <c r="C30" s="6"/>
      <c r="D30" s="10" t="s">
        <v>349</v>
      </c>
      <c r="E30" s="12" t="s">
        <v>350</v>
      </c>
      <c r="F30" s="6"/>
      <c r="G30" s="6"/>
      <c r="H30" s="6"/>
      <c r="I30" s="6"/>
      <c r="J30" s="6"/>
      <c r="K30" s="6"/>
      <c r="L30" s="6"/>
      <c r="M30" s="6"/>
      <c r="N30" s="6"/>
    </row>
    <row r="31" spans="2:14" x14ac:dyDescent="0.25">
      <c r="B31" s="6"/>
      <c r="C31" s="6"/>
      <c r="D31" s="10" t="s">
        <v>351</v>
      </c>
      <c r="E31" s="12" t="s">
        <v>352</v>
      </c>
      <c r="F31" s="6"/>
      <c r="G31" s="6"/>
      <c r="H31" s="6"/>
      <c r="I31" s="6"/>
      <c r="J31" s="6"/>
      <c r="K31" s="6"/>
      <c r="L31" s="6"/>
      <c r="M31" s="6"/>
      <c r="N31" s="6"/>
    </row>
    <row r="32" spans="2:14" x14ac:dyDescent="0.25">
      <c r="B32" s="6"/>
      <c r="C32" s="6"/>
      <c r="D32" s="10" t="s">
        <v>353</v>
      </c>
      <c r="E32" s="12" t="s">
        <v>354</v>
      </c>
      <c r="F32" s="6"/>
      <c r="G32" s="6"/>
      <c r="H32" s="6"/>
      <c r="I32" s="6"/>
      <c r="J32" s="6"/>
      <c r="K32" s="6"/>
      <c r="L32" s="6"/>
      <c r="M32" s="6"/>
      <c r="N32" s="6"/>
    </row>
    <row r="33" spans="2:14" x14ac:dyDescent="0.25">
      <c r="B33" s="6"/>
      <c r="C33" s="6"/>
      <c r="D33" s="10" t="s">
        <v>355</v>
      </c>
      <c r="E33" s="12" t="s">
        <v>356</v>
      </c>
      <c r="F33" s="6"/>
      <c r="G33" s="6"/>
      <c r="H33" s="6"/>
      <c r="I33" s="6"/>
      <c r="J33" s="6"/>
      <c r="K33" s="6"/>
      <c r="L33" s="6"/>
      <c r="M33" s="6"/>
      <c r="N33" s="6"/>
    </row>
    <row r="34" spans="2:14" x14ac:dyDescent="0.25">
      <c r="B34" s="6"/>
      <c r="C34" s="6"/>
      <c r="D34" s="10" t="s">
        <v>357</v>
      </c>
      <c r="E34" s="12" t="s">
        <v>358</v>
      </c>
      <c r="F34" s="6"/>
      <c r="G34" s="6"/>
      <c r="H34" s="6"/>
      <c r="I34" s="6"/>
      <c r="J34" s="6"/>
      <c r="K34" s="6"/>
      <c r="L34" s="6"/>
      <c r="M34" s="6"/>
      <c r="N34" s="6"/>
    </row>
    <row r="35" spans="2:14" x14ac:dyDescent="0.25">
      <c r="B35" s="6"/>
      <c r="C35" s="6"/>
      <c r="D35" s="10" t="s">
        <v>359</v>
      </c>
      <c r="E35" s="12" t="s">
        <v>360</v>
      </c>
      <c r="F35" s="6"/>
      <c r="G35" s="6"/>
      <c r="H35" s="6"/>
      <c r="I35" s="6"/>
      <c r="J35" s="6"/>
      <c r="K35" s="6"/>
      <c r="L35" s="6"/>
      <c r="M35" s="6"/>
      <c r="N35" s="6"/>
    </row>
    <row r="36" spans="2:14" x14ac:dyDescent="0.25">
      <c r="B36" s="6"/>
      <c r="C36" s="10" t="s">
        <v>361</v>
      </c>
      <c r="D36" s="6"/>
      <c r="E36" s="11" t="s">
        <v>362</v>
      </c>
      <c r="F36" s="6"/>
      <c r="G36" s="6"/>
      <c r="H36" s="6"/>
      <c r="I36" s="6"/>
      <c r="J36" s="6"/>
      <c r="K36" s="6"/>
      <c r="L36" s="6"/>
      <c r="M36" s="6"/>
      <c r="N36" s="6"/>
    </row>
    <row r="37" spans="2:14" x14ac:dyDescent="0.25">
      <c r="B37" s="6"/>
      <c r="C37" s="6"/>
      <c r="D37" s="10" t="s">
        <v>363</v>
      </c>
      <c r="E37" s="12" t="s">
        <v>364</v>
      </c>
      <c r="F37" s="6"/>
      <c r="G37" s="6"/>
      <c r="H37" s="6"/>
      <c r="I37" s="6"/>
      <c r="J37" s="6"/>
      <c r="K37" s="6"/>
      <c r="L37" s="6"/>
      <c r="M37" s="6"/>
      <c r="N37" s="6"/>
    </row>
    <row r="38" spans="2:14" x14ac:dyDescent="0.25">
      <c r="B38" s="6"/>
      <c r="C38" s="6"/>
      <c r="D38" s="10" t="s">
        <v>365</v>
      </c>
      <c r="E38" s="12" t="s">
        <v>366</v>
      </c>
      <c r="F38" s="6"/>
      <c r="G38" s="6"/>
      <c r="H38" s="6"/>
      <c r="I38" s="6"/>
      <c r="J38" s="6"/>
      <c r="K38" s="6"/>
      <c r="L38" s="6"/>
      <c r="M38" s="6"/>
      <c r="N38" s="6"/>
    </row>
    <row r="39" spans="2:14" x14ac:dyDescent="0.25">
      <c r="B39" s="6"/>
      <c r="C39" s="6"/>
      <c r="D39" s="10" t="s">
        <v>367</v>
      </c>
      <c r="E39" s="12" t="s">
        <v>368</v>
      </c>
      <c r="F39" s="6"/>
      <c r="G39" s="6"/>
      <c r="H39" s="6"/>
      <c r="I39" s="6"/>
      <c r="J39" s="6"/>
      <c r="K39" s="6"/>
      <c r="L39" s="6"/>
      <c r="M39" s="6"/>
      <c r="N39" s="6"/>
    </row>
    <row r="40" spans="2:14" x14ac:dyDescent="0.25">
      <c r="B40" s="6"/>
      <c r="C40" s="6"/>
      <c r="D40" s="10" t="s">
        <v>369</v>
      </c>
      <c r="E40" s="12" t="s">
        <v>370</v>
      </c>
      <c r="F40" s="6"/>
      <c r="G40" s="6"/>
      <c r="H40" s="6"/>
      <c r="I40" s="6"/>
      <c r="J40" s="6"/>
      <c r="K40" s="6"/>
      <c r="L40" s="6"/>
      <c r="M40" s="6"/>
      <c r="N40" s="6"/>
    </row>
    <row r="41" spans="2:14" x14ac:dyDescent="0.25">
      <c r="B41" s="6"/>
      <c r="C41" s="6"/>
      <c r="D41" s="10" t="s">
        <v>371</v>
      </c>
      <c r="E41" s="12" t="s">
        <v>372</v>
      </c>
      <c r="F41" s="6"/>
      <c r="G41" s="6"/>
      <c r="H41" s="6"/>
      <c r="I41" s="6"/>
      <c r="J41" s="6"/>
      <c r="K41" s="6"/>
      <c r="L41" s="6"/>
      <c r="M41" s="6"/>
      <c r="N41" s="6"/>
    </row>
    <row r="42" spans="2:14" x14ac:dyDescent="0.25">
      <c r="B42" s="6"/>
      <c r="C42" s="6"/>
      <c r="D42" s="10" t="s">
        <v>373</v>
      </c>
      <c r="E42" s="12" t="s">
        <v>374</v>
      </c>
      <c r="F42" s="6"/>
      <c r="G42" s="6"/>
      <c r="H42" s="6"/>
      <c r="I42" s="6"/>
      <c r="J42" s="6"/>
      <c r="K42" s="6"/>
      <c r="L42" s="6"/>
      <c r="M42" s="6"/>
      <c r="N42" s="6"/>
    </row>
    <row r="43" spans="2:14" x14ac:dyDescent="0.25">
      <c r="B43" s="6"/>
      <c r="C43" s="6"/>
      <c r="D43" s="10" t="s">
        <v>375</v>
      </c>
      <c r="E43" s="12" t="s">
        <v>376</v>
      </c>
      <c r="F43" s="6"/>
      <c r="G43" s="6"/>
      <c r="H43" s="6"/>
      <c r="I43" s="6"/>
      <c r="J43" s="6"/>
      <c r="K43" s="6"/>
      <c r="L43" s="6"/>
      <c r="M43" s="6"/>
      <c r="N43" s="6"/>
    </row>
    <row r="44" spans="2:14" x14ac:dyDescent="0.25">
      <c r="B44" s="6"/>
      <c r="C44" s="6"/>
      <c r="D44" s="10" t="s">
        <v>377</v>
      </c>
      <c r="E44" s="12" t="s">
        <v>378</v>
      </c>
      <c r="F44" s="6"/>
      <c r="G44" s="6"/>
      <c r="H44" s="6"/>
      <c r="I44" s="6"/>
      <c r="J44" s="6"/>
      <c r="K44" s="6"/>
      <c r="L44" s="6"/>
      <c r="M44" s="6"/>
      <c r="N44" s="6"/>
    </row>
    <row r="45" spans="2:14" x14ac:dyDescent="0.25">
      <c r="B45" s="6"/>
      <c r="C45" s="10" t="s">
        <v>379</v>
      </c>
      <c r="D45" s="6"/>
      <c r="E45" s="11" t="s">
        <v>380</v>
      </c>
      <c r="F45" s="6"/>
      <c r="G45" s="6"/>
      <c r="H45" s="6"/>
      <c r="I45" s="6"/>
      <c r="J45" s="6"/>
      <c r="K45" s="6"/>
      <c r="L45" s="6"/>
      <c r="M45" s="6"/>
      <c r="N45" s="6"/>
    </row>
    <row r="46" spans="2:14" x14ac:dyDescent="0.25">
      <c r="B46" s="6"/>
      <c r="C46" s="6"/>
      <c r="D46" s="10" t="s">
        <v>381</v>
      </c>
      <c r="E46" s="12" t="s">
        <v>382</v>
      </c>
      <c r="F46" s="6"/>
      <c r="G46" s="6"/>
      <c r="H46" s="6"/>
      <c r="I46" s="6"/>
      <c r="J46" s="6"/>
      <c r="K46" s="6"/>
      <c r="L46" s="6"/>
      <c r="M46" s="6"/>
      <c r="N46" s="6"/>
    </row>
    <row r="47" spans="2:14" x14ac:dyDescent="0.25">
      <c r="B47" s="6"/>
      <c r="C47" s="6"/>
      <c r="D47" s="10" t="s">
        <v>383</v>
      </c>
      <c r="E47" s="12" t="s">
        <v>384</v>
      </c>
      <c r="F47" s="6"/>
      <c r="G47" s="6"/>
      <c r="H47" s="6"/>
      <c r="I47" s="6"/>
      <c r="J47" s="6"/>
      <c r="K47" s="6"/>
      <c r="L47" s="6"/>
      <c r="M47" s="6"/>
      <c r="N47" s="6"/>
    </row>
    <row r="48" spans="2:14" x14ac:dyDescent="0.25">
      <c r="B48" s="6"/>
      <c r="C48" s="6"/>
      <c r="D48" s="10" t="s">
        <v>385</v>
      </c>
      <c r="E48" s="12" t="s">
        <v>386</v>
      </c>
      <c r="F48" s="6"/>
      <c r="G48" s="6"/>
      <c r="H48" s="6"/>
      <c r="I48" s="6"/>
      <c r="J48" s="6"/>
      <c r="K48" s="6"/>
      <c r="L48" s="6"/>
      <c r="M48" s="6"/>
      <c r="N48" s="6"/>
    </row>
    <row r="49" spans="2:14" x14ac:dyDescent="0.25">
      <c r="B49" s="6"/>
      <c r="C49" s="10" t="s">
        <v>387</v>
      </c>
      <c r="D49" s="6"/>
      <c r="E49" s="11" t="s">
        <v>388</v>
      </c>
      <c r="F49" s="6"/>
      <c r="G49" s="6"/>
      <c r="H49" s="6"/>
      <c r="I49" s="6"/>
      <c r="J49" s="6"/>
      <c r="K49" s="6"/>
      <c r="L49" s="6"/>
      <c r="M49" s="6"/>
      <c r="N49" s="6"/>
    </row>
    <row r="50" spans="2:14" x14ac:dyDescent="0.25">
      <c r="B50" s="6"/>
      <c r="C50" s="6"/>
      <c r="D50" s="10" t="s">
        <v>389</v>
      </c>
      <c r="E50" s="12" t="s">
        <v>390</v>
      </c>
      <c r="F50" s="6"/>
      <c r="G50" s="6"/>
      <c r="H50" s="6"/>
      <c r="I50" s="6"/>
      <c r="J50" s="6"/>
      <c r="K50" s="6"/>
      <c r="L50" s="6"/>
      <c r="M50" s="6"/>
      <c r="N50" s="6"/>
    </row>
    <row r="51" spans="2:14" x14ac:dyDescent="0.25">
      <c r="B51" s="6"/>
      <c r="C51" s="6"/>
      <c r="D51" s="10" t="s">
        <v>391</v>
      </c>
      <c r="E51" s="12" t="s">
        <v>392</v>
      </c>
      <c r="F51" s="6"/>
      <c r="G51" s="6"/>
      <c r="H51" s="6"/>
      <c r="I51" s="6"/>
      <c r="J51" s="6"/>
      <c r="K51" s="6"/>
      <c r="L51" s="6"/>
      <c r="M51" s="6"/>
      <c r="N51" s="6"/>
    </row>
    <row r="52" spans="2:14" x14ac:dyDescent="0.25">
      <c r="B52" s="6"/>
      <c r="C52" s="6"/>
      <c r="D52" s="10" t="s">
        <v>393</v>
      </c>
      <c r="E52" s="12" t="s">
        <v>394</v>
      </c>
      <c r="F52" s="6"/>
      <c r="G52" s="6"/>
      <c r="H52" s="6"/>
      <c r="I52" s="6"/>
      <c r="J52" s="6"/>
      <c r="K52" s="6"/>
      <c r="L52" s="6"/>
      <c r="M52" s="6"/>
      <c r="N52" s="6"/>
    </row>
    <row r="53" spans="2:14" x14ac:dyDescent="0.25">
      <c r="B53" s="6"/>
      <c r="C53" s="6"/>
      <c r="D53" s="10" t="s">
        <v>395</v>
      </c>
      <c r="E53" s="12" t="s">
        <v>396</v>
      </c>
      <c r="F53" s="6"/>
      <c r="G53" s="6"/>
      <c r="H53" s="6"/>
      <c r="I53" s="6"/>
      <c r="J53" s="6"/>
      <c r="K53" s="6"/>
      <c r="L53" s="6"/>
      <c r="M53" s="6"/>
      <c r="N53" s="6"/>
    </row>
    <row r="54" spans="2:14" x14ac:dyDescent="0.25">
      <c r="B54" s="6"/>
      <c r="C54" s="10" t="s">
        <v>397</v>
      </c>
      <c r="D54" s="6"/>
      <c r="E54" s="11" t="s">
        <v>398</v>
      </c>
      <c r="F54" s="6"/>
      <c r="G54" s="6"/>
      <c r="H54" s="6"/>
      <c r="I54" s="6"/>
      <c r="J54" s="6"/>
      <c r="K54" s="6"/>
      <c r="L54" s="6"/>
      <c r="M54" s="6"/>
      <c r="N54" s="6"/>
    </row>
    <row r="55" spans="2:14" x14ac:dyDescent="0.25">
      <c r="B55" s="6"/>
      <c r="C55" s="6"/>
      <c r="D55" s="10" t="s">
        <v>399</v>
      </c>
      <c r="E55" s="12" t="s">
        <v>400</v>
      </c>
      <c r="F55" s="6"/>
      <c r="G55" s="6"/>
      <c r="H55" s="6"/>
      <c r="I55" s="6"/>
      <c r="J55" s="6"/>
      <c r="K55" s="6"/>
      <c r="L55" s="6"/>
      <c r="M55" s="6"/>
      <c r="N55" s="6"/>
    </row>
    <row r="56" spans="2:14" x14ac:dyDescent="0.25">
      <c r="B56" s="6"/>
      <c r="C56" s="6"/>
      <c r="D56" s="10" t="s">
        <v>401</v>
      </c>
      <c r="E56" s="12" t="s">
        <v>402</v>
      </c>
      <c r="F56" s="6"/>
      <c r="G56" s="6"/>
      <c r="H56" s="6"/>
      <c r="I56" s="6"/>
      <c r="J56" s="6"/>
      <c r="K56" s="6"/>
      <c r="L56" s="6"/>
      <c r="M56" s="6"/>
      <c r="N56" s="6"/>
    </row>
    <row r="57" spans="2:14" x14ac:dyDescent="0.25">
      <c r="B57" s="6"/>
      <c r="C57" s="6"/>
      <c r="D57" s="10" t="s">
        <v>403</v>
      </c>
      <c r="E57" s="12" t="s">
        <v>404</v>
      </c>
      <c r="F57" s="6"/>
      <c r="G57" s="6"/>
      <c r="H57" s="6"/>
      <c r="I57" s="6"/>
      <c r="J57" s="6"/>
      <c r="K57" s="6"/>
      <c r="L57" s="6"/>
      <c r="M57" s="6"/>
      <c r="N57" s="6"/>
    </row>
    <row r="58" spans="2:14" x14ac:dyDescent="0.25">
      <c r="B58" s="5" t="s">
        <v>405</v>
      </c>
      <c r="C58" s="6"/>
      <c r="D58" s="6"/>
      <c r="E58" s="7" t="s">
        <v>406</v>
      </c>
      <c r="F58" s="8">
        <v>8000000</v>
      </c>
      <c r="G58" s="8">
        <v>500000</v>
      </c>
      <c r="H58" s="8">
        <v>-200000</v>
      </c>
      <c r="I58" s="8">
        <f>F58+G58+H58</f>
      </c>
      <c r="J58" s="8">
        <v>8200000</v>
      </c>
      <c r="K58" s="8">
        <v>8000000</v>
      </c>
      <c r="L58" s="8">
        <v>7800000</v>
      </c>
      <c r="M58" s="8">
        <f>K58-L58</f>
      </c>
      <c r="N58" s="9">
        <f>IF(I58=0,0,K58/I58)</f>
      </c>
    </row>
    <row r="59" spans="2:14" x14ac:dyDescent="0.25">
      <c r="B59" s="6"/>
      <c r="C59" s="10" t="s">
        <v>407</v>
      </c>
      <c r="D59" s="6"/>
      <c r="E59" s="11" t="s">
        <v>408</v>
      </c>
      <c r="F59" s="6"/>
      <c r="G59" s="6"/>
      <c r="H59" s="6"/>
      <c r="I59" s="6"/>
      <c r="J59" s="6"/>
      <c r="K59" s="6"/>
      <c r="L59" s="6"/>
      <c r="M59" s="6"/>
      <c r="N59" s="6"/>
    </row>
    <row r="60" spans="2:14" x14ac:dyDescent="0.25">
      <c r="B60" s="6"/>
      <c r="C60" s="6"/>
      <c r="D60" s="10" t="s">
        <v>409</v>
      </c>
      <c r="E60" s="12" t="s">
        <v>410</v>
      </c>
      <c r="F60" s="6"/>
      <c r="G60" s="6"/>
      <c r="H60" s="6"/>
      <c r="I60" s="6"/>
      <c r="J60" s="6"/>
      <c r="K60" s="6"/>
      <c r="L60" s="6"/>
      <c r="M60" s="6"/>
      <c r="N60" s="6"/>
    </row>
    <row r="61" spans="2:14" x14ac:dyDescent="0.25">
      <c r="B61" s="6"/>
      <c r="C61" s="6"/>
      <c r="D61" s="10" t="s">
        <v>411</v>
      </c>
      <c r="E61" s="12" t="s">
        <v>412</v>
      </c>
      <c r="F61" s="6"/>
      <c r="G61" s="6"/>
      <c r="H61" s="6"/>
      <c r="I61" s="6"/>
      <c r="J61" s="6"/>
      <c r="K61" s="6"/>
      <c r="L61" s="6"/>
      <c r="M61" s="6"/>
      <c r="N61" s="6"/>
    </row>
    <row r="62" spans="2:14" x14ac:dyDescent="0.25">
      <c r="B62" s="6"/>
      <c r="C62" s="6"/>
      <c r="D62" s="10" t="s">
        <v>413</v>
      </c>
      <c r="E62" s="12" t="s">
        <v>414</v>
      </c>
      <c r="F62" s="6"/>
      <c r="G62" s="6"/>
      <c r="H62" s="6"/>
      <c r="I62" s="6"/>
      <c r="J62" s="6"/>
      <c r="K62" s="6"/>
      <c r="L62" s="6"/>
      <c r="M62" s="6"/>
      <c r="N62" s="6"/>
    </row>
    <row r="63" spans="2:14" x14ac:dyDescent="0.25">
      <c r="B63" s="6"/>
      <c r="C63" s="6"/>
      <c r="D63" s="10" t="s">
        <v>415</v>
      </c>
      <c r="E63" s="12" t="s">
        <v>416</v>
      </c>
      <c r="F63" s="6"/>
      <c r="G63" s="6"/>
      <c r="H63" s="6"/>
      <c r="I63" s="6"/>
      <c r="J63" s="6"/>
      <c r="K63" s="6"/>
      <c r="L63" s="6"/>
      <c r="M63" s="6"/>
      <c r="N63" s="6"/>
    </row>
    <row r="64" spans="2:14" x14ac:dyDescent="0.25">
      <c r="B64" s="6"/>
      <c r="C64" s="6"/>
      <c r="D64" s="10" t="s">
        <v>417</v>
      </c>
      <c r="E64" s="12" t="s">
        <v>418</v>
      </c>
      <c r="F64" s="6"/>
      <c r="G64" s="6"/>
      <c r="H64" s="6"/>
      <c r="I64" s="6"/>
      <c r="J64" s="6"/>
      <c r="K64" s="6"/>
      <c r="L64" s="6"/>
      <c r="M64" s="6"/>
      <c r="N64" s="6"/>
    </row>
    <row r="65" spans="2:14" x14ac:dyDescent="0.25">
      <c r="B65" s="6"/>
      <c r="C65" s="6"/>
      <c r="D65" s="10" t="s">
        <v>419</v>
      </c>
      <c r="E65" s="12" t="s">
        <v>420</v>
      </c>
      <c r="F65" s="6"/>
      <c r="G65" s="6"/>
      <c r="H65" s="6"/>
      <c r="I65" s="6"/>
      <c r="J65" s="6"/>
      <c r="K65" s="6"/>
      <c r="L65" s="6"/>
      <c r="M65" s="6"/>
      <c r="N65" s="6"/>
    </row>
    <row r="66" spans="2:14" x14ac:dyDescent="0.25">
      <c r="B66" s="6"/>
      <c r="C66" s="6"/>
      <c r="D66" s="10" t="s">
        <v>421</v>
      </c>
      <c r="E66" s="12" t="s">
        <v>422</v>
      </c>
      <c r="F66" s="6"/>
      <c r="G66" s="6"/>
      <c r="H66" s="6"/>
      <c r="I66" s="6"/>
      <c r="J66" s="6"/>
      <c r="K66" s="6"/>
      <c r="L66" s="6"/>
      <c r="M66" s="6"/>
      <c r="N66" s="6"/>
    </row>
    <row r="67" spans="2:14" x14ac:dyDescent="0.25">
      <c r="B67" s="6"/>
      <c r="C67" s="6"/>
      <c r="D67" s="10" t="s">
        <v>423</v>
      </c>
      <c r="E67" s="12" t="s">
        <v>424</v>
      </c>
      <c r="F67" s="6"/>
      <c r="G67" s="6"/>
      <c r="H67" s="6"/>
      <c r="I67" s="6"/>
      <c r="J67" s="6"/>
      <c r="K67" s="6"/>
      <c r="L67" s="6"/>
      <c r="M67" s="6"/>
      <c r="N67" s="6"/>
    </row>
    <row r="68" spans="2:14" x14ac:dyDescent="0.25">
      <c r="B68" s="6"/>
      <c r="C68" s="10" t="s">
        <v>425</v>
      </c>
      <c r="D68" s="6"/>
      <c r="E68" s="11" t="s">
        <v>426</v>
      </c>
      <c r="F68" s="6"/>
      <c r="G68" s="6"/>
      <c r="H68" s="6"/>
      <c r="I68" s="6"/>
      <c r="J68" s="6"/>
      <c r="K68" s="6"/>
      <c r="L68" s="6"/>
      <c r="M68" s="6"/>
      <c r="N68" s="6"/>
    </row>
    <row r="69" spans="2:14" x14ac:dyDescent="0.25">
      <c r="B69" s="6"/>
      <c r="C69" s="6"/>
      <c r="D69" s="10" t="s">
        <v>427</v>
      </c>
      <c r="E69" s="12" t="s">
        <v>428</v>
      </c>
      <c r="F69" s="6"/>
      <c r="G69" s="6"/>
      <c r="H69" s="6"/>
      <c r="I69" s="6"/>
      <c r="J69" s="6"/>
      <c r="K69" s="6"/>
      <c r="L69" s="6"/>
      <c r="M69" s="6"/>
      <c r="N69" s="6"/>
    </row>
    <row r="70" spans="2:14" x14ac:dyDescent="0.25">
      <c r="B70" s="6"/>
      <c r="C70" s="6"/>
      <c r="D70" s="10" t="s">
        <v>429</v>
      </c>
      <c r="E70" s="12" t="s">
        <v>430</v>
      </c>
      <c r="F70" s="6"/>
      <c r="G70" s="6"/>
      <c r="H70" s="6"/>
      <c r="I70" s="6"/>
      <c r="J70" s="6"/>
      <c r="K70" s="6"/>
      <c r="L70" s="6"/>
      <c r="M70" s="6"/>
      <c r="N70" s="6"/>
    </row>
    <row r="71" spans="2:14" x14ac:dyDescent="0.25">
      <c r="B71" s="6"/>
      <c r="C71" s="6"/>
      <c r="D71" s="10" t="s">
        <v>431</v>
      </c>
      <c r="E71" s="12" t="s">
        <v>432</v>
      </c>
      <c r="F71" s="6"/>
      <c r="G71" s="6"/>
      <c r="H71" s="6"/>
      <c r="I71" s="6"/>
      <c r="J71" s="6"/>
      <c r="K71" s="6"/>
      <c r="L71" s="6"/>
      <c r="M71" s="6"/>
      <c r="N71" s="6"/>
    </row>
    <row r="72" spans="2:14" x14ac:dyDescent="0.25">
      <c r="B72" s="6"/>
      <c r="C72" s="6"/>
      <c r="D72" s="10" t="s">
        <v>433</v>
      </c>
      <c r="E72" s="12" t="s">
        <v>434</v>
      </c>
      <c r="F72" s="6"/>
      <c r="G72" s="6"/>
      <c r="H72" s="6"/>
      <c r="I72" s="6"/>
      <c r="J72" s="6"/>
      <c r="K72" s="6"/>
      <c r="L72" s="6"/>
      <c r="M72" s="6"/>
      <c r="N72" s="6"/>
    </row>
    <row r="73" spans="2:14" x14ac:dyDescent="0.25">
      <c r="B73" s="6"/>
      <c r="C73" s="6"/>
      <c r="D73" s="10" t="s">
        <v>435</v>
      </c>
      <c r="E73" s="12" t="s">
        <v>436</v>
      </c>
      <c r="F73" s="6"/>
      <c r="G73" s="6"/>
      <c r="H73" s="6"/>
      <c r="I73" s="6"/>
      <c r="J73" s="6"/>
      <c r="K73" s="6"/>
      <c r="L73" s="6"/>
      <c r="M73" s="6"/>
      <c r="N73" s="6"/>
    </row>
    <row r="74" spans="2:14" x14ac:dyDescent="0.25">
      <c r="B74" s="6"/>
      <c r="C74" s="6"/>
      <c r="D74" s="10" t="s">
        <v>437</v>
      </c>
      <c r="E74" s="12" t="s">
        <v>438</v>
      </c>
      <c r="F74" s="6"/>
      <c r="G74" s="6"/>
      <c r="H74" s="6"/>
      <c r="I74" s="6"/>
      <c r="J74" s="6"/>
      <c r="K74" s="6"/>
      <c r="L74" s="6"/>
      <c r="M74" s="6"/>
      <c r="N74" s="6"/>
    </row>
    <row r="75" spans="2:14" x14ac:dyDescent="0.25">
      <c r="B75" s="6"/>
      <c r="C75" s="10" t="s">
        <v>439</v>
      </c>
      <c r="D75" s="6"/>
      <c r="E75" s="11" t="s">
        <v>440</v>
      </c>
      <c r="F75" s="6"/>
      <c r="G75" s="6"/>
      <c r="H75" s="6"/>
      <c r="I75" s="6"/>
      <c r="J75" s="6"/>
      <c r="K75" s="6"/>
      <c r="L75" s="6"/>
      <c r="M75" s="6"/>
      <c r="N75" s="6"/>
    </row>
    <row r="76" spans="2:14" x14ac:dyDescent="0.25">
      <c r="B76" s="6"/>
      <c r="C76" s="6"/>
      <c r="D76" s="10" t="s">
        <v>441</v>
      </c>
      <c r="E76" s="12" t="s">
        <v>442</v>
      </c>
      <c r="F76" s="6"/>
      <c r="G76" s="6"/>
      <c r="H76" s="6"/>
      <c r="I76" s="6"/>
      <c r="J76" s="6"/>
      <c r="K76" s="6"/>
      <c r="L76" s="6"/>
      <c r="M76" s="6"/>
      <c r="N76" s="6"/>
    </row>
    <row r="77" spans="2:14" x14ac:dyDescent="0.25">
      <c r="B77" s="6"/>
      <c r="C77" s="6"/>
      <c r="D77" s="10" t="s">
        <v>443</v>
      </c>
      <c r="E77" s="12" t="s">
        <v>444</v>
      </c>
      <c r="F77" s="6"/>
      <c r="G77" s="6"/>
      <c r="H77" s="6"/>
      <c r="I77" s="6"/>
      <c r="J77" s="6"/>
      <c r="K77" s="6"/>
      <c r="L77" s="6"/>
      <c r="M77" s="6"/>
      <c r="N77" s="6"/>
    </row>
    <row r="78" spans="2:14" x14ac:dyDescent="0.25">
      <c r="B78" s="6"/>
      <c r="C78" s="6"/>
      <c r="D78" s="10" t="s">
        <v>445</v>
      </c>
      <c r="E78" s="12" t="s">
        <v>446</v>
      </c>
      <c r="F78" s="6"/>
      <c r="G78" s="6"/>
      <c r="H78" s="6"/>
      <c r="I78" s="6"/>
      <c r="J78" s="6"/>
      <c r="K78" s="6"/>
      <c r="L78" s="6"/>
      <c r="M78" s="6"/>
      <c r="N78" s="6"/>
    </row>
    <row r="79" spans="2:14" x14ac:dyDescent="0.25">
      <c r="B79" s="6"/>
      <c r="C79" s="6"/>
      <c r="D79" s="10" t="s">
        <v>447</v>
      </c>
      <c r="E79" s="12" t="s">
        <v>448</v>
      </c>
      <c r="F79" s="6"/>
      <c r="G79" s="6"/>
      <c r="H79" s="6"/>
      <c r="I79" s="6"/>
      <c r="J79" s="6"/>
      <c r="K79" s="6"/>
      <c r="L79" s="6"/>
      <c r="M79" s="6"/>
      <c r="N79" s="6"/>
    </row>
    <row r="80" spans="2:14" x14ac:dyDescent="0.25">
      <c r="B80" s="6"/>
      <c r="C80" s="6"/>
      <c r="D80" s="10" t="s">
        <v>449</v>
      </c>
      <c r="E80" s="12" t="s">
        <v>450</v>
      </c>
      <c r="F80" s="6"/>
      <c r="G80" s="6"/>
      <c r="H80" s="6"/>
      <c r="I80" s="6"/>
      <c r="J80" s="6"/>
      <c r="K80" s="6"/>
      <c r="L80" s="6"/>
      <c r="M80" s="6"/>
      <c r="N80" s="6"/>
    </row>
    <row r="81" spans="2:14" x14ac:dyDescent="0.25">
      <c r="B81" s="6"/>
      <c r="C81" s="10" t="s">
        <v>451</v>
      </c>
      <c r="D81" s="6"/>
      <c r="E81" s="11" t="s">
        <v>452</v>
      </c>
      <c r="F81" s="6"/>
      <c r="G81" s="6"/>
      <c r="H81" s="6"/>
      <c r="I81" s="6"/>
      <c r="J81" s="6"/>
      <c r="K81" s="6"/>
      <c r="L81" s="6"/>
      <c r="M81" s="6"/>
      <c r="N81" s="6"/>
    </row>
    <row r="82" spans="2:14" x14ac:dyDescent="0.25">
      <c r="B82" s="6"/>
      <c r="C82" s="6"/>
      <c r="D82" s="10" t="s">
        <v>453</v>
      </c>
      <c r="E82" s="12" t="s">
        <v>454</v>
      </c>
      <c r="F82" s="6"/>
      <c r="G82" s="6"/>
      <c r="H82" s="6"/>
      <c r="I82" s="6"/>
      <c r="J82" s="6"/>
      <c r="K82" s="6"/>
      <c r="L82" s="6"/>
      <c r="M82" s="6"/>
      <c r="N82" s="6"/>
    </row>
    <row r="83" spans="2:14" x14ac:dyDescent="0.25">
      <c r="B83" s="6"/>
      <c r="C83" s="6"/>
      <c r="D83" s="10" t="s">
        <v>455</v>
      </c>
      <c r="E83" s="12" t="s">
        <v>456</v>
      </c>
      <c r="F83" s="6"/>
      <c r="G83" s="6"/>
      <c r="H83" s="6"/>
      <c r="I83" s="6"/>
      <c r="J83" s="6"/>
      <c r="K83" s="6"/>
      <c r="L83" s="6"/>
      <c r="M83" s="6"/>
      <c r="N83" s="6"/>
    </row>
    <row r="84" spans="2:14" x14ac:dyDescent="0.25">
      <c r="B84" s="6"/>
      <c r="C84" s="6"/>
      <c r="D84" s="10" t="s">
        <v>457</v>
      </c>
      <c r="E84" s="12" t="s">
        <v>458</v>
      </c>
      <c r="F84" s="6"/>
      <c r="G84" s="6"/>
      <c r="H84" s="6"/>
      <c r="I84" s="6"/>
      <c r="J84" s="6"/>
      <c r="K84" s="6"/>
      <c r="L84" s="6"/>
      <c r="M84" s="6"/>
      <c r="N84" s="6"/>
    </row>
    <row r="85" spans="2:14" x14ac:dyDescent="0.25">
      <c r="B85" s="6"/>
      <c r="C85" s="10" t="s">
        <v>459</v>
      </c>
      <c r="D85" s="6"/>
      <c r="E85" s="11" t="s">
        <v>460</v>
      </c>
      <c r="F85" s="6"/>
      <c r="G85" s="6"/>
      <c r="H85" s="6"/>
      <c r="I85" s="6"/>
      <c r="J85" s="6"/>
      <c r="K85" s="6"/>
      <c r="L85" s="6"/>
      <c r="M85" s="6"/>
      <c r="N85" s="6"/>
    </row>
    <row r="86" spans="2:14" x14ac:dyDescent="0.25">
      <c r="B86" s="6"/>
      <c r="C86" s="6"/>
      <c r="D86" s="10" t="s">
        <v>461</v>
      </c>
      <c r="E86" s="12" t="s">
        <v>462</v>
      </c>
      <c r="F86" s="6"/>
      <c r="G86" s="6"/>
      <c r="H86" s="6"/>
      <c r="I86" s="6"/>
      <c r="J86" s="6"/>
      <c r="K86" s="6"/>
      <c r="L86" s="6"/>
      <c r="M86" s="6"/>
      <c r="N86" s="6"/>
    </row>
    <row r="87" spans="2:14" x14ac:dyDescent="0.25">
      <c r="B87" s="6"/>
      <c r="C87" s="10" t="s">
        <v>463</v>
      </c>
      <c r="D87" s="6"/>
      <c r="E87" s="11" t="s">
        <v>464</v>
      </c>
      <c r="F87" s="6"/>
      <c r="G87" s="6"/>
      <c r="H87" s="6"/>
      <c r="I87" s="6"/>
      <c r="J87" s="6"/>
      <c r="K87" s="6"/>
      <c r="L87" s="6"/>
      <c r="M87" s="6"/>
      <c r="N87" s="6"/>
    </row>
    <row r="88" spans="2:14" x14ac:dyDescent="0.25">
      <c r="B88" s="6"/>
      <c r="C88" s="6"/>
      <c r="D88" s="10" t="s">
        <v>465</v>
      </c>
      <c r="E88" s="12" t="s">
        <v>466</v>
      </c>
      <c r="F88" s="6"/>
      <c r="G88" s="6"/>
      <c r="H88" s="6"/>
      <c r="I88" s="6"/>
      <c r="J88" s="6"/>
      <c r="K88" s="6"/>
      <c r="L88" s="6"/>
      <c r="M88" s="6"/>
      <c r="N88" s="6"/>
    </row>
    <row r="89" spans="2:14" x14ac:dyDescent="0.25">
      <c r="B89" s="6"/>
      <c r="C89" s="6"/>
      <c r="D89" s="10" t="s">
        <v>467</v>
      </c>
      <c r="E89" s="12" t="s">
        <v>468</v>
      </c>
      <c r="F89" s="6"/>
      <c r="G89" s="6"/>
      <c r="H89" s="6"/>
      <c r="I89" s="6"/>
      <c r="J89" s="6"/>
      <c r="K89" s="6"/>
      <c r="L89" s="6"/>
      <c r="M89" s="6"/>
      <c r="N89" s="6"/>
    </row>
    <row r="90" spans="2:14" x14ac:dyDescent="0.25">
      <c r="B90" s="6"/>
      <c r="C90" s="6"/>
      <c r="D90" s="10" t="s">
        <v>469</v>
      </c>
      <c r="E90" s="12" t="s">
        <v>470</v>
      </c>
      <c r="F90" s="6"/>
      <c r="G90" s="6"/>
      <c r="H90" s="6"/>
      <c r="I90" s="6"/>
      <c r="J90" s="6"/>
      <c r="K90" s="6"/>
      <c r="L90" s="6"/>
      <c r="M90" s="6"/>
      <c r="N90" s="6"/>
    </row>
    <row r="91" spans="2:14" x14ac:dyDescent="0.25">
      <c r="B91" s="6"/>
      <c r="C91" s="6"/>
      <c r="D91" s="10" t="s">
        <v>471</v>
      </c>
      <c r="E91" s="12" t="s">
        <v>472</v>
      </c>
      <c r="F91" s="6"/>
      <c r="G91" s="6"/>
      <c r="H91" s="6"/>
      <c r="I91" s="6"/>
      <c r="J91" s="6"/>
      <c r="K91" s="6"/>
      <c r="L91" s="6"/>
      <c r="M91" s="6"/>
      <c r="N91" s="6"/>
    </row>
    <row r="92" spans="2:14" x14ac:dyDescent="0.25">
      <c r="B92" s="6"/>
      <c r="C92" s="6"/>
      <c r="D92" s="10" t="s">
        <v>473</v>
      </c>
      <c r="E92" s="12" t="s">
        <v>474</v>
      </c>
      <c r="F92" s="6"/>
      <c r="G92" s="6"/>
      <c r="H92" s="6"/>
      <c r="I92" s="6"/>
      <c r="J92" s="6"/>
      <c r="K92" s="6"/>
      <c r="L92" s="6"/>
      <c r="M92" s="6"/>
      <c r="N92" s="6"/>
    </row>
    <row r="93" spans="2:14" x14ac:dyDescent="0.25">
      <c r="B93" s="6"/>
      <c r="C93" s="6"/>
      <c r="D93" s="10" t="s">
        <v>475</v>
      </c>
      <c r="E93" s="12" t="s">
        <v>190</v>
      </c>
      <c r="F93" s="6"/>
      <c r="G93" s="6"/>
      <c r="H93" s="6"/>
      <c r="I93" s="6"/>
      <c r="J93" s="6"/>
      <c r="K93" s="6"/>
      <c r="L93" s="6"/>
      <c r="M93" s="6"/>
      <c r="N93" s="6"/>
    </row>
    <row r="94" spans="2:14" x14ac:dyDescent="0.25">
      <c r="B94" s="6"/>
      <c r="C94" s="10" t="s">
        <v>476</v>
      </c>
      <c r="D94" s="6"/>
      <c r="E94" s="11" t="s">
        <v>477</v>
      </c>
      <c r="F94" s="6"/>
      <c r="G94" s="6"/>
      <c r="H94" s="6"/>
      <c r="I94" s="6"/>
      <c r="J94" s="6"/>
      <c r="K94" s="6"/>
      <c r="L94" s="6"/>
      <c r="M94" s="6"/>
      <c r="N94" s="6"/>
    </row>
    <row r="95" spans="2:14" x14ac:dyDescent="0.25">
      <c r="B95" s="6"/>
      <c r="C95" s="6"/>
      <c r="D95" s="10" t="s">
        <v>478</v>
      </c>
      <c r="E95" s="12" t="s">
        <v>479</v>
      </c>
      <c r="F95" s="6"/>
      <c r="G95" s="6"/>
      <c r="H95" s="6"/>
      <c r="I95" s="6"/>
      <c r="J95" s="6"/>
      <c r="K95" s="6"/>
      <c r="L95" s="6"/>
      <c r="M95" s="6"/>
      <c r="N95" s="6"/>
    </row>
    <row r="96" spans="2:14" x14ac:dyDescent="0.25">
      <c r="B96" s="6"/>
      <c r="C96" s="6"/>
      <c r="D96" s="10" t="s">
        <v>480</v>
      </c>
      <c r="E96" s="12" t="s">
        <v>481</v>
      </c>
      <c r="F96" s="6"/>
      <c r="G96" s="6"/>
      <c r="H96" s="6"/>
      <c r="I96" s="6"/>
      <c r="J96" s="6"/>
      <c r="K96" s="6"/>
      <c r="L96" s="6"/>
      <c r="M96" s="6"/>
      <c r="N96" s="6"/>
    </row>
    <row r="97" spans="2:14" x14ac:dyDescent="0.25">
      <c r="B97" s="6"/>
      <c r="C97" s="6"/>
      <c r="D97" s="10" t="s">
        <v>482</v>
      </c>
      <c r="E97" s="12" t="s">
        <v>483</v>
      </c>
      <c r="F97" s="6"/>
      <c r="G97" s="6"/>
      <c r="H97" s="6"/>
      <c r="I97" s="6"/>
      <c r="J97" s="6"/>
      <c r="K97" s="6"/>
      <c r="L97" s="6"/>
      <c r="M97" s="6"/>
      <c r="N97" s="6"/>
    </row>
    <row r="98" spans="2:14" x14ac:dyDescent="0.25">
      <c r="B98" s="6"/>
      <c r="C98" s="6"/>
      <c r="D98" s="10" t="s">
        <v>484</v>
      </c>
      <c r="E98" s="12" t="s">
        <v>485</v>
      </c>
      <c r="F98" s="6"/>
      <c r="G98" s="6"/>
      <c r="H98" s="6"/>
      <c r="I98" s="6"/>
      <c r="J98" s="6"/>
      <c r="K98" s="6"/>
      <c r="L98" s="6"/>
      <c r="M98" s="6"/>
      <c r="N98" s="6"/>
    </row>
    <row r="99" spans="2:14" x14ac:dyDescent="0.25">
      <c r="B99" s="6"/>
      <c r="C99" s="6"/>
      <c r="D99" s="10" t="s">
        <v>486</v>
      </c>
      <c r="E99" s="12" t="s">
        <v>487</v>
      </c>
      <c r="F99" s="6"/>
      <c r="G99" s="6"/>
      <c r="H99" s="6"/>
      <c r="I99" s="6"/>
      <c r="J99" s="6"/>
      <c r="K99" s="6"/>
      <c r="L99" s="6"/>
      <c r="M99" s="6"/>
      <c r="N99" s="6"/>
    </row>
    <row r="100" spans="2:14" x14ac:dyDescent="0.25">
      <c r="B100" s="6"/>
      <c r="C100" s="6"/>
      <c r="D100" s="10" t="s">
        <v>488</v>
      </c>
      <c r="E100" s="12" t="s">
        <v>489</v>
      </c>
      <c r="F100" s="6"/>
      <c r="G100" s="6"/>
      <c r="H100" s="6"/>
      <c r="I100" s="6"/>
      <c r="J100" s="6"/>
      <c r="K100" s="6"/>
      <c r="L100" s="6"/>
      <c r="M100" s="6"/>
      <c r="N100" s="6"/>
    </row>
    <row r="101" spans="2:14" x14ac:dyDescent="0.25">
      <c r="B101" s="6"/>
      <c r="C101" s="10" t="s">
        <v>490</v>
      </c>
      <c r="D101" s="6"/>
      <c r="E101" s="11" t="s">
        <v>491</v>
      </c>
      <c r="F101" s="6"/>
      <c r="G101" s="6"/>
      <c r="H101" s="6"/>
      <c r="I101" s="6"/>
      <c r="J101" s="6"/>
      <c r="K101" s="6"/>
      <c r="L101" s="6"/>
      <c r="M101" s="6"/>
      <c r="N101" s="6"/>
    </row>
    <row r="102" spans="2:14" x14ac:dyDescent="0.25">
      <c r="B102" s="6"/>
      <c r="C102" s="6"/>
      <c r="D102" s="10" t="s">
        <v>492</v>
      </c>
      <c r="E102" s="12" t="s">
        <v>493</v>
      </c>
      <c r="F102" s="6"/>
      <c r="G102" s="6"/>
      <c r="H102" s="6"/>
      <c r="I102" s="6"/>
      <c r="J102" s="6"/>
      <c r="K102" s="6"/>
      <c r="L102" s="6"/>
      <c r="M102" s="6"/>
      <c r="N102" s="6"/>
    </row>
    <row r="103" spans="2:14" x14ac:dyDescent="0.25">
      <c r="B103" s="6"/>
      <c r="C103" s="6"/>
      <c r="D103" s="10" t="s">
        <v>494</v>
      </c>
      <c r="E103" s="12" t="s">
        <v>495</v>
      </c>
      <c r="F103" s="6"/>
      <c r="G103" s="6"/>
      <c r="H103" s="6"/>
      <c r="I103" s="6"/>
      <c r="J103" s="6"/>
      <c r="K103" s="6"/>
      <c r="L103" s="6"/>
      <c r="M103" s="6"/>
      <c r="N103" s="6"/>
    </row>
    <row r="104" spans="2:14" x14ac:dyDescent="0.25">
      <c r="B104" s="6"/>
      <c r="C104" s="6"/>
      <c r="D104" s="10" t="s">
        <v>496</v>
      </c>
      <c r="E104" s="12" t="s">
        <v>497</v>
      </c>
      <c r="F104" s="6"/>
      <c r="G104" s="6"/>
      <c r="H104" s="6"/>
      <c r="I104" s="6"/>
      <c r="J104" s="6"/>
      <c r="K104" s="6"/>
      <c r="L104" s="6"/>
      <c r="M104" s="6"/>
      <c r="N104" s="6"/>
    </row>
    <row r="105" spans="2:14" x14ac:dyDescent="0.25">
      <c r="B105" s="6"/>
      <c r="C105" s="6"/>
      <c r="D105" s="10" t="s">
        <v>498</v>
      </c>
      <c r="E105" s="12" t="s">
        <v>499</v>
      </c>
      <c r="F105" s="6"/>
      <c r="G105" s="6"/>
      <c r="H105" s="6"/>
      <c r="I105" s="6"/>
      <c r="J105" s="6"/>
      <c r="K105" s="6"/>
      <c r="L105" s="6"/>
      <c r="M105" s="6"/>
      <c r="N105" s="6"/>
    </row>
    <row r="106" spans="2:14" x14ac:dyDescent="0.25">
      <c r="B106" s="6"/>
      <c r="C106" s="6"/>
      <c r="D106" s="10" t="s">
        <v>500</v>
      </c>
      <c r="E106" s="12" t="s">
        <v>501</v>
      </c>
      <c r="F106" s="6"/>
      <c r="G106" s="6"/>
      <c r="H106" s="6"/>
      <c r="I106" s="6"/>
      <c r="J106" s="6"/>
      <c r="K106" s="6"/>
      <c r="L106" s="6"/>
      <c r="M106" s="6"/>
      <c r="N106" s="6"/>
    </row>
    <row r="107" spans="2:14" x14ac:dyDescent="0.25">
      <c r="B107" s="6"/>
      <c r="C107" s="6"/>
      <c r="D107" s="10" t="s">
        <v>502</v>
      </c>
      <c r="E107" s="12" t="s">
        <v>503</v>
      </c>
      <c r="F107" s="6"/>
      <c r="G107" s="6"/>
      <c r="H107" s="6"/>
      <c r="I107" s="6"/>
      <c r="J107" s="6"/>
      <c r="K107" s="6"/>
      <c r="L107" s="6"/>
      <c r="M107" s="6"/>
      <c r="N107" s="6"/>
    </row>
    <row r="108" spans="2:14" x14ac:dyDescent="0.25">
      <c r="B108" s="6"/>
      <c r="C108" s="6"/>
      <c r="D108" s="10" t="s">
        <v>504</v>
      </c>
      <c r="E108" s="12" t="s">
        <v>505</v>
      </c>
      <c r="F108" s="6"/>
      <c r="G108" s="6"/>
      <c r="H108" s="6"/>
      <c r="I108" s="6"/>
      <c r="J108" s="6"/>
      <c r="K108" s="6"/>
      <c r="L108" s="6"/>
      <c r="M108" s="6"/>
      <c r="N108" s="6"/>
    </row>
    <row r="109" spans="2:14" x14ac:dyDescent="0.25">
      <c r="B109" s="6"/>
      <c r="C109" s="6"/>
      <c r="D109" s="10" t="s">
        <v>506</v>
      </c>
      <c r="E109" s="12" t="s">
        <v>507</v>
      </c>
      <c r="F109" s="6"/>
      <c r="G109" s="6"/>
      <c r="H109" s="6"/>
      <c r="I109" s="6"/>
      <c r="J109" s="6"/>
      <c r="K109" s="6"/>
      <c r="L109" s="6"/>
      <c r="M109" s="6"/>
      <c r="N109" s="6"/>
    </row>
    <row r="110" spans="2:14" x14ac:dyDescent="0.25">
      <c r="B110" s="5" t="s">
        <v>508</v>
      </c>
      <c r="C110" s="6"/>
      <c r="D110" s="6"/>
      <c r="E110" s="7" t="s">
        <v>509</v>
      </c>
      <c r="F110" s="8">
        <v>10000000</v>
      </c>
      <c r="G110" s="8">
        <v>800000</v>
      </c>
      <c r="H110" s="8">
        <v>300000</v>
      </c>
      <c r="I110" s="8">
        <f>F110+G110+H110</f>
      </c>
      <c r="J110" s="8">
        <v>10800000</v>
      </c>
      <c r="K110" s="8">
        <v>10500000</v>
      </c>
      <c r="L110" s="8">
        <v>10200000</v>
      </c>
      <c r="M110" s="8">
        <f>K110-L110</f>
      </c>
      <c r="N110" s="9">
        <f>IF(I110=0,0,K110/I110)</f>
      </c>
    </row>
    <row r="111" spans="2:14" x14ac:dyDescent="0.25">
      <c r="B111" s="6"/>
      <c r="C111" s="10" t="s">
        <v>510</v>
      </c>
      <c r="D111" s="6"/>
      <c r="E111" s="11" t="s">
        <v>511</v>
      </c>
      <c r="F111" s="6"/>
      <c r="G111" s="6"/>
      <c r="H111" s="6"/>
      <c r="I111" s="6"/>
      <c r="J111" s="6"/>
      <c r="K111" s="6"/>
      <c r="L111" s="6"/>
      <c r="M111" s="6"/>
      <c r="N111" s="6"/>
    </row>
    <row r="112" spans="2:14" x14ac:dyDescent="0.25">
      <c r="B112" s="6"/>
      <c r="C112" s="6"/>
      <c r="D112" s="10" t="s">
        <v>512</v>
      </c>
      <c r="E112" s="12" t="s">
        <v>511</v>
      </c>
      <c r="F112" s="6"/>
      <c r="G112" s="6"/>
      <c r="H112" s="6"/>
      <c r="I112" s="6"/>
      <c r="J112" s="6"/>
      <c r="K112" s="6"/>
      <c r="L112" s="6"/>
      <c r="M112" s="6"/>
      <c r="N112" s="6"/>
    </row>
    <row r="113" spans="2:14" x14ac:dyDescent="0.25">
      <c r="B113" s="6"/>
      <c r="C113" s="10" t="s">
        <v>513</v>
      </c>
      <c r="D113" s="6"/>
      <c r="E113" s="11" t="s">
        <v>514</v>
      </c>
      <c r="F113" s="6"/>
      <c r="G113" s="6"/>
      <c r="H113" s="6"/>
      <c r="I113" s="6"/>
      <c r="J113" s="6"/>
      <c r="K113" s="6"/>
      <c r="L113" s="6"/>
      <c r="M113" s="6"/>
      <c r="N113" s="6"/>
    </row>
    <row r="114" spans="2:14" x14ac:dyDescent="0.25">
      <c r="B114" s="6"/>
      <c r="C114" s="6"/>
      <c r="D114" s="10" t="s">
        <v>515</v>
      </c>
      <c r="E114" s="12" t="s">
        <v>514</v>
      </c>
      <c r="F114" s="6"/>
      <c r="G114" s="6"/>
      <c r="H114" s="6"/>
      <c r="I114" s="6"/>
      <c r="J114" s="6"/>
      <c r="K114" s="6"/>
      <c r="L114" s="6"/>
      <c r="M114" s="6"/>
      <c r="N114" s="6"/>
    </row>
    <row r="115" spans="2:14" x14ac:dyDescent="0.25">
      <c r="B115" s="6"/>
      <c r="C115" s="10" t="s">
        <v>516</v>
      </c>
      <c r="D115" s="6"/>
      <c r="E115" s="11" t="s">
        <v>517</v>
      </c>
      <c r="F115" s="6"/>
      <c r="G115" s="6"/>
      <c r="H115" s="6"/>
      <c r="I115" s="6"/>
      <c r="J115" s="6"/>
      <c r="K115" s="6"/>
      <c r="L115" s="6"/>
      <c r="M115" s="6"/>
      <c r="N115" s="6"/>
    </row>
    <row r="116" spans="2:14" x14ac:dyDescent="0.25">
      <c r="B116" s="6"/>
      <c r="C116" s="6"/>
      <c r="D116" s="10" t="s">
        <v>518</v>
      </c>
      <c r="E116" s="12" t="s">
        <v>517</v>
      </c>
      <c r="F116" s="6"/>
      <c r="G116" s="6"/>
      <c r="H116" s="6"/>
      <c r="I116" s="6"/>
      <c r="J116" s="6"/>
      <c r="K116" s="6"/>
      <c r="L116" s="6"/>
      <c r="M116" s="6"/>
      <c r="N116" s="6"/>
    </row>
    <row r="117" spans="2:14" x14ac:dyDescent="0.25">
      <c r="B117" s="6"/>
      <c r="C117" s="10" t="s">
        <v>519</v>
      </c>
      <c r="D117" s="6"/>
      <c r="E117" s="11" t="s">
        <v>520</v>
      </c>
      <c r="F117" s="6"/>
      <c r="G117" s="6"/>
      <c r="H117" s="6"/>
      <c r="I117" s="6"/>
      <c r="J117" s="6"/>
      <c r="K117" s="6"/>
      <c r="L117" s="6"/>
      <c r="M117" s="6"/>
      <c r="N117" s="6"/>
    </row>
    <row r="118" spans="2:14" x14ac:dyDescent="0.25">
      <c r="B118" s="6"/>
      <c r="C118" s="6"/>
      <c r="D118" s="10" t="s">
        <v>521</v>
      </c>
      <c r="E118" s="12" t="s">
        <v>520</v>
      </c>
      <c r="F118" s="6"/>
      <c r="G118" s="6"/>
      <c r="H118" s="6"/>
      <c r="I118" s="6"/>
      <c r="J118" s="6"/>
      <c r="K118" s="6"/>
      <c r="L118" s="6"/>
      <c r="M118" s="6"/>
      <c r="N118" s="6"/>
    </row>
    <row r="119" spans="2:14" x14ac:dyDescent="0.25">
      <c r="B119" s="5" t="s">
        <v>522</v>
      </c>
      <c r="C119" s="6"/>
      <c r="D119" s="6"/>
      <c r="E119" s="7" t="s">
        <v>523</v>
      </c>
      <c r="F119" s="8">
        <v>1000000</v>
      </c>
      <c r="G119" s="8">
        <v>0</v>
      </c>
      <c r="H119" s="8">
        <v>0</v>
      </c>
      <c r="I119" s="8">
        <f>F119+G119+H119</f>
      </c>
      <c r="J119" s="8">
        <v>980000</v>
      </c>
      <c r="K119" s="8">
        <v>950000</v>
      </c>
      <c r="L119" s="8">
        <v>950000</v>
      </c>
      <c r="M119" s="8">
        <f>K119-L119</f>
      </c>
      <c r="N119" s="9">
        <f>IF(I119=0,0,K119/I119)</f>
      </c>
    </row>
    <row r="120" spans="2:14" x14ac:dyDescent="0.25">
      <c r="B120" s="6"/>
      <c r="C120" s="10" t="s">
        <v>524</v>
      </c>
      <c r="D120" s="6"/>
      <c r="E120" s="11" t="s">
        <v>525</v>
      </c>
      <c r="F120" s="6"/>
      <c r="G120" s="6"/>
      <c r="H120" s="6"/>
      <c r="I120" s="6"/>
      <c r="J120" s="6"/>
      <c r="K120" s="6"/>
      <c r="L120" s="6"/>
      <c r="M120" s="6"/>
      <c r="N120" s="6"/>
    </row>
    <row r="121" spans="2:14" x14ac:dyDescent="0.25">
      <c r="B121" s="6"/>
      <c r="C121" s="6"/>
      <c r="D121" s="10" t="s">
        <v>526</v>
      </c>
      <c r="E121" s="12" t="s">
        <v>527</v>
      </c>
      <c r="F121" s="6"/>
      <c r="G121" s="6"/>
      <c r="H121" s="6"/>
      <c r="I121" s="6"/>
      <c r="J121" s="6"/>
      <c r="K121" s="6"/>
      <c r="L121" s="6"/>
      <c r="M121" s="6"/>
      <c r="N121" s="6"/>
    </row>
    <row r="122" spans="2:14" x14ac:dyDescent="0.25">
      <c r="B122" s="6"/>
      <c r="C122" s="10" t="s">
        <v>528</v>
      </c>
      <c r="D122" s="6"/>
      <c r="E122" s="11" t="s">
        <v>529</v>
      </c>
      <c r="F122" s="6"/>
      <c r="G122" s="6"/>
      <c r="H122" s="6"/>
      <c r="I122" s="6"/>
      <c r="J122" s="6"/>
      <c r="K122" s="6"/>
      <c r="L122" s="6"/>
      <c r="M122" s="6"/>
      <c r="N122" s="6"/>
    </row>
    <row r="123" spans="2:14" x14ac:dyDescent="0.25">
      <c r="B123" s="6"/>
      <c r="C123" s="6"/>
      <c r="D123" s="10" t="s">
        <v>530</v>
      </c>
      <c r="E123" s="12" t="s">
        <v>529</v>
      </c>
      <c r="F123" s="6"/>
      <c r="G123" s="6"/>
      <c r="H123" s="6"/>
      <c r="I123" s="6"/>
      <c r="J123" s="6"/>
      <c r="K123" s="6"/>
      <c r="L123" s="6"/>
      <c r="M123" s="6"/>
      <c r="N123" s="6"/>
    </row>
    <row r="124" spans="2:14" x14ac:dyDescent="0.25">
      <c r="B124" s="6"/>
      <c r="C124" s="10" t="s">
        <v>531</v>
      </c>
      <c r="D124" s="6"/>
      <c r="E124" s="11" t="s">
        <v>532</v>
      </c>
      <c r="F124" s="6"/>
      <c r="G124" s="6"/>
      <c r="H124" s="6"/>
      <c r="I124" s="6"/>
      <c r="J124" s="6"/>
      <c r="K124" s="6"/>
      <c r="L124" s="6"/>
      <c r="M124" s="6"/>
      <c r="N124" s="6"/>
    </row>
    <row r="125" spans="2:14" x14ac:dyDescent="0.25">
      <c r="B125" s="6"/>
      <c r="C125" s="6"/>
      <c r="D125" s="10" t="s">
        <v>533</v>
      </c>
      <c r="E125" s="12" t="s">
        <v>532</v>
      </c>
      <c r="F125" s="6"/>
      <c r="G125" s="6"/>
      <c r="H125" s="6"/>
      <c r="I125" s="6"/>
      <c r="J125" s="6"/>
      <c r="K125" s="6"/>
      <c r="L125" s="6"/>
      <c r="M125" s="6"/>
      <c r="N125" s="6"/>
    </row>
    <row r="126" spans="2:14" x14ac:dyDescent="0.25">
      <c r="B126" s="6"/>
      <c r="C126" s="10" t="s">
        <v>534</v>
      </c>
      <c r="D126" s="6"/>
      <c r="E126" s="11" t="s">
        <v>535</v>
      </c>
      <c r="F126" s="6"/>
      <c r="G126" s="6"/>
      <c r="H126" s="6"/>
      <c r="I126" s="6"/>
      <c r="J126" s="6"/>
      <c r="K126" s="6"/>
      <c r="L126" s="6"/>
      <c r="M126" s="6"/>
      <c r="N126" s="6"/>
    </row>
    <row r="127" spans="2:14" x14ac:dyDescent="0.25">
      <c r="B127" s="6"/>
      <c r="C127" s="6"/>
      <c r="D127" s="10" t="s">
        <v>536</v>
      </c>
      <c r="E127" s="12" t="s">
        <v>535</v>
      </c>
      <c r="F127" s="6"/>
      <c r="G127" s="6"/>
      <c r="H127" s="6"/>
      <c r="I127" s="6"/>
      <c r="J127" s="6"/>
      <c r="K127" s="6"/>
      <c r="L127" s="6"/>
      <c r="M127" s="6"/>
      <c r="N127" s="6"/>
    </row>
    <row r="128" spans="2:14" x14ac:dyDescent="0.25">
      <c r="B128" s="6"/>
      <c r="C128" s="10" t="s">
        <v>537</v>
      </c>
      <c r="D128" s="6"/>
      <c r="E128" s="11" t="s">
        <v>538</v>
      </c>
      <c r="F128" s="6"/>
      <c r="G128" s="6"/>
      <c r="H128" s="6"/>
      <c r="I128" s="6"/>
      <c r="J128" s="6"/>
      <c r="K128" s="6"/>
      <c r="L128" s="6"/>
      <c r="M128" s="6"/>
      <c r="N128" s="6"/>
    </row>
    <row r="129" spans="2:14" x14ac:dyDescent="0.25">
      <c r="B129" s="6"/>
      <c r="C129" s="6"/>
      <c r="D129" s="10" t="s">
        <v>539</v>
      </c>
      <c r="E129" s="12" t="s">
        <v>538</v>
      </c>
      <c r="F129" s="6"/>
      <c r="G129" s="6"/>
      <c r="H129" s="6"/>
      <c r="I129" s="6"/>
      <c r="J129" s="6"/>
      <c r="K129" s="6"/>
      <c r="L129" s="6"/>
      <c r="M129" s="6"/>
      <c r="N129" s="6"/>
    </row>
    <row r="130" spans="2:14" x14ac:dyDescent="0.25">
      <c r="B130" s="5" t="s">
        <v>540</v>
      </c>
      <c r="C130" s="6"/>
      <c r="D130" s="6"/>
      <c r="E130" s="7" t="s">
        <v>541</v>
      </c>
      <c r="F130" s="8">
        <v>4000000</v>
      </c>
      <c r="G130" s="8">
        <v>200000</v>
      </c>
      <c r="H130" s="8">
        <v>100000</v>
      </c>
      <c r="I130" s="8">
        <f>F130+G130+H130</f>
      </c>
      <c r="J130" s="8">
        <v>4200000</v>
      </c>
      <c r="K130" s="8">
        <v>4100000</v>
      </c>
      <c r="L130" s="8">
        <v>3900000</v>
      </c>
      <c r="M130" s="8">
        <f>K130-L130</f>
      </c>
      <c r="N130" s="9">
        <f>IF(I130=0,0,K130/I130)</f>
      </c>
    </row>
    <row r="131" spans="2:14" x14ac:dyDescent="0.25">
      <c r="B131" s="6"/>
      <c r="C131" s="10" t="s">
        <v>542</v>
      </c>
      <c r="D131" s="6"/>
      <c r="E131" s="11" t="s">
        <v>543</v>
      </c>
      <c r="F131" s="6"/>
      <c r="G131" s="6"/>
      <c r="H131" s="6"/>
      <c r="I131" s="6"/>
      <c r="J131" s="6"/>
      <c r="K131" s="6"/>
      <c r="L131" s="6"/>
      <c r="M131" s="6"/>
      <c r="N131" s="6"/>
    </row>
    <row r="132" spans="2:14" x14ac:dyDescent="0.25">
      <c r="B132" s="6"/>
      <c r="C132" s="6"/>
      <c r="D132" s="10" t="s">
        <v>544</v>
      </c>
      <c r="E132" s="12" t="s">
        <v>543</v>
      </c>
      <c r="F132" s="6"/>
      <c r="G132" s="6"/>
      <c r="H132" s="6"/>
      <c r="I132" s="6"/>
      <c r="J132" s="6"/>
      <c r="K132" s="6"/>
      <c r="L132" s="6"/>
      <c r="M132" s="6"/>
      <c r="N132" s="6"/>
    </row>
    <row r="133" spans="2:14" x14ac:dyDescent="0.25">
      <c r="B133" s="6"/>
      <c r="C133" s="10" t="s">
        <v>545</v>
      </c>
      <c r="D133" s="6"/>
      <c r="E133" s="11" t="s">
        <v>546</v>
      </c>
      <c r="F133" s="6"/>
      <c r="G133" s="6"/>
      <c r="H133" s="6"/>
      <c r="I133" s="6"/>
      <c r="J133" s="6"/>
      <c r="K133" s="6"/>
      <c r="L133" s="6"/>
      <c r="M133" s="6"/>
      <c r="N133" s="6"/>
    </row>
    <row r="134" spans="2:14" x14ac:dyDescent="0.25">
      <c r="B134" s="6"/>
      <c r="C134" s="6"/>
      <c r="D134" s="10" t="s">
        <v>547</v>
      </c>
      <c r="E134" s="12" t="s">
        <v>548</v>
      </c>
      <c r="F134" s="6"/>
      <c r="G134" s="6"/>
      <c r="H134" s="6"/>
      <c r="I134" s="6"/>
      <c r="J134" s="6"/>
      <c r="K134" s="6"/>
      <c r="L134" s="6"/>
      <c r="M134" s="6"/>
      <c r="N134" s="6"/>
    </row>
    <row r="135" spans="2:14" x14ac:dyDescent="0.25">
      <c r="B135" s="6"/>
      <c r="C135" s="6"/>
      <c r="D135" s="10" t="s">
        <v>549</v>
      </c>
      <c r="E135" s="12" t="s">
        <v>550</v>
      </c>
      <c r="F135" s="6"/>
      <c r="G135" s="6"/>
      <c r="H135" s="6"/>
      <c r="I135" s="6"/>
      <c r="J135" s="6"/>
      <c r="K135" s="6"/>
      <c r="L135" s="6"/>
      <c r="M135" s="6"/>
      <c r="N135" s="6"/>
    </row>
    <row r="136" spans="2:14" x14ac:dyDescent="0.25">
      <c r="B136" s="6"/>
      <c r="C136" s="6"/>
      <c r="D136" s="10" t="s">
        <v>551</v>
      </c>
      <c r="E136" s="12" t="s">
        <v>552</v>
      </c>
      <c r="F136" s="6"/>
      <c r="G136" s="6"/>
      <c r="H136" s="6"/>
      <c r="I136" s="6"/>
      <c r="J136" s="6"/>
      <c r="K136" s="6"/>
      <c r="L136" s="6"/>
      <c r="M136" s="6"/>
      <c r="N136" s="6"/>
    </row>
    <row r="137" spans="2:14" x14ac:dyDescent="0.25">
      <c r="B137" s="6"/>
      <c r="C137" s="6"/>
      <c r="D137" s="10" t="s">
        <v>553</v>
      </c>
      <c r="E137" s="12" t="s">
        <v>554</v>
      </c>
      <c r="F137" s="6"/>
      <c r="G137" s="6"/>
      <c r="H137" s="6"/>
      <c r="I137" s="6"/>
      <c r="J137" s="6"/>
      <c r="K137" s="6"/>
      <c r="L137" s="6"/>
      <c r="M137" s="6"/>
      <c r="N137" s="6"/>
    </row>
    <row r="138" spans="2:14" x14ac:dyDescent="0.25">
      <c r="B138" s="6"/>
      <c r="C138" s="10" t="s">
        <v>555</v>
      </c>
      <c r="D138" s="6"/>
      <c r="E138" s="11" t="s">
        <v>556</v>
      </c>
      <c r="F138" s="6"/>
      <c r="G138" s="6"/>
      <c r="H138" s="6"/>
      <c r="I138" s="6"/>
      <c r="J138" s="6"/>
      <c r="K138" s="6"/>
      <c r="L138" s="6"/>
      <c r="M138" s="6"/>
      <c r="N138" s="6"/>
    </row>
    <row r="139" spans="2:14" x14ac:dyDescent="0.25">
      <c r="B139" s="6"/>
      <c r="C139" s="6"/>
      <c r="D139" s="10" t="s">
        <v>557</v>
      </c>
      <c r="E139" s="12" t="s">
        <v>556</v>
      </c>
      <c r="F139" s="6"/>
      <c r="G139" s="6"/>
      <c r="H139" s="6"/>
      <c r="I139" s="6"/>
      <c r="J139" s="6"/>
      <c r="K139" s="6"/>
      <c r="L139" s="6"/>
      <c r="M139" s="6"/>
      <c r="N139" s="6"/>
    </row>
    <row r="140" spans="2:14" x14ac:dyDescent="0.25">
      <c r="B140" s="6"/>
      <c r="C140" s="10" t="s">
        <v>558</v>
      </c>
      <c r="D140" s="6"/>
      <c r="E140" s="11" t="s">
        <v>559</v>
      </c>
      <c r="F140" s="6"/>
      <c r="G140" s="6"/>
      <c r="H140" s="6"/>
      <c r="I140" s="6"/>
      <c r="J140" s="6"/>
      <c r="K140" s="6"/>
      <c r="L140" s="6"/>
      <c r="M140" s="6"/>
      <c r="N140" s="6"/>
    </row>
    <row r="141" spans="2:14" x14ac:dyDescent="0.25">
      <c r="B141" s="6"/>
      <c r="C141" s="6"/>
      <c r="D141" s="10" t="s">
        <v>560</v>
      </c>
      <c r="E141" s="12" t="s">
        <v>559</v>
      </c>
      <c r="F141" s="6"/>
      <c r="G141" s="6"/>
      <c r="H141" s="6"/>
      <c r="I141" s="6"/>
      <c r="J141" s="6"/>
      <c r="K141" s="6"/>
      <c r="L141" s="6"/>
      <c r="M141" s="6"/>
      <c r="N141" s="6"/>
    </row>
    <row r="142" spans="2:14" x14ac:dyDescent="0.25">
      <c r="B142" s="6"/>
      <c r="C142" s="10" t="s">
        <v>561</v>
      </c>
      <c r="D142" s="6"/>
      <c r="E142" s="11" t="s">
        <v>562</v>
      </c>
      <c r="F142" s="6"/>
      <c r="G142" s="6"/>
      <c r="H142" s="6"/>
      <c r="I142" s="6"/>
      <c r="J142" s="6"/>
      <c r="K142" s="6"/>
      <c r="L142" s="6"/>
      <c r="M142" s="6"/>
      <c r="N142" s="6"/>
    </row>
    <row r="143" spans="2:14" x14ac:dyDescent="0.25">
      <c r="B143" s="6"/>
      <c r="C143" s="6"/>
      <c r="D143" s="10" t="s">
        <v>563</v>
      </c>
      <c r="E143" s="12" t="s">
        <v>564</v>
      </c>
      <c r="F143" s="6"/>
      <c r="G143" s="6"/>
      <c r="H143" s="6"/>
      <c r="I143" s="6"/>
      <c r="J143" s="6"/>
      <c r="K143" s="6"/>
      <c r="L143" s="6"/>
      <c r="M143" s="6"/>
      <c r="N143" s="6"/>
    </row>
    <row r="144" spans="2:14" x14ac:dyDescent="0.25">
      <c r="B144" s="6"/>
      <c r="C144" s="6"/>
      <c r="D144" s="10" t="s">
        <v>565</v>
      </c>
      <c r="E144" s="12" t="s">
        <v>566</v>
      </c>
      <c r="F144" s="6"/>
      <c r="G144" s="6"/>
      <c r="H144" s="6"/>
      <c r="I144" s="6"/>
      <c r="J144" s="6"/>
      <c r="K144" s="6"/>
      <c r="L144" s="6"/>
      <c r="M144" s="6"/>
      <c r="N144" s="6"/>
    </row>
    <row r="145" spans="2:14" x14ac:dyDescent="0.25">
      <c r="B145" s="6"/>
      <c r="C145" s="6"/>
      <c r="D145" s="10" t="s">
        <v>567</v>
      </c>
      <c r="E145" s="12" t="s">
        <v>568</v>
      </c>
      <c r="F145" s="6"/>
      <c r="G145" s="6"/>
      <c r="H145" s="6"/>
      <c r="I145" s="6"/>
      <c r="J145" s="6"/>
      <c r="K145" s="6"/>
      <c r="L145" s="6"/>
      <c r="M145" s="6"/>
      <c r="N145" s="6"/>
    </row>
    <row r="146" spans="2:14" x14ac:dyDescent="0.25">
      <c r="B146" s="6"/>
      <c r="C146" s="6"/>
      <c r="D146" s="10" t="s">
        <v>569</v>
      </c>
      <c r="E146" s="12" t="s">
        <v>570</v>
      </c>
      <c r="F146" s="6"/>
      <c r="G146" s="6"/>
      <c r="H146" s="6"/>
      <c r="I146" s="6"/>
      <c r="J146" s="6"/>
      <c r="K146" s="6"/>
      <c r="L146" s="6"/>
      <c r="M146" s="6"/>
      <c r="N146" s="6"/>
    </row>
    <row r="147" spans="2:14" x14ac:dyDescent="0.25">
      <c r="B147" s="6"/>
      <c r="C147" s="6"/>
      <c r="D147" s="10" t="s">
        <v>571</v>
      </c>
      <c r="E147" s="12" t="s">
        <v>572</v>
      </c>
      <c r="F147" s="6"/>
      <c r="G147" s="6"/>
      <c r="H147" s="6"/>
      <c r="I147" s="6"/>
      <c r="J147" s="6"/>
      <c r="K147" s="6"/>
      <c r="L147" s="6"/>
      <c r="M147" s="6"/>
      <c r="N147" s="6"/>
    </row>
    <row r="148" spans="2:14" x14ac:dyDescent="0.25">
      <c r="B148" s="5" t="s">
        <v>573</v>
      </c>
      <c r="C148" s="6"/>
      <c r="D148" s="6"/>
      <c r="E148" s="7" t="s">
        <v>574</v>
      </c>
      <c r="F148" s="8">
        <v>2000000</v>
      </c>
      <c r="G148" s="8">
        <v>100000</v>
      </c>
      <c r="H148" s="8">
        <v>0</v>
      </c>
      <c r="I148" s="8">
        <f>F148+G148+H148</f>
      </c>
      <c r="J148" s="8">
        <v>2050000</v>
      </c>
      <c r="K148" s="8">
        <v>2000000</v>
      </c>
      <c r="L148" s="8">
        <v>2000000</v>
      </c>
      <c r="M148" s="8">
        <f>K148-L148</f>
      </c>
      <c r="N148" s="9">
        <f>IF(I148=0,0,K148/I148)</f>
      </c>
    </row>
    <row r="149" spans="2:14" x14ac:dyDescent="0.25">
      <c r="B149" s="6"/>
      <c r="C149" s="10" t="s">
        <v>575</v>
      </c>
      <c r="D149" s="6"/>
      <c r="E149" s="11" t="s">
        <v>576</v>
      </c>
      <c r="F149" s="6"/>
      <c r="G149" s="6"/>
      <c r="H149" s="6"/>
      <c r="I149" s="6"/>
      <c r="J149" s="6"/>
      <c r="K149" s="6"/>
      <c r="L149" s="6"/>
      <c r="M149" s="6"/>
      <c r="N149" s="6"/>
    </row>
    <row r="150" spans="2:14" x14ac:dyDescent="0.25">
      <c r="B150" s="6"/>
      <c r="C150" s="6"/>
      <c r="D150" s="10" t="s">
        <v>577</v>
      </c>
      <c r="E150" s="12" t="s">
        <v>578</v>
      </c>
      <c r="F150" s="6"/>
      <c r="G150" s="6"/>
      <c r="H150" s="6"/>
      <c r="I150" s="6"/>
      <c r="J150" s="6"/>
      <c r="K150" s="6"/>
      <c r="L150" s="6"/>
      <c r="M150" s="6"/>
      <c r="N150" s="6"/>
    </row>
    <row r="151" spans="2:14" x14ac:dyDescent="0.25">
      <c r="B151" s="6"/>
      <c r="C151" s="6"/>
      <c r="D151" s="10" t="s">
        <v>579</v>
      </c>
      <c r="E151" s="12" t="s">
        <v>580</v>
      </c>
      <c r="F151" s="6"/>
      <c r="G151" s="6"/>
      <c r="H151" s="6"/>
      <c r="I151" s="6"/>
      <c r="J151" s="6"/>
      <c r="K151" s="6"/>
      <c r="L151" s="6"/>
      <c r="M151" s="6"/>
      <c r="N151" s="6"/>
    </row>
    <row r="152" spans="2:14" x14ac:dyDescent="0.25">
      <c r="B152" s="6"/>
      <c r="C152" s="10" t="s">
        <v>581</v>
      </c>
      <c r="D152" s="6"/>
      <c r="E152" s="11" t="s">
        <v>582</v>
      </c>
      <c r="F152" s="6"/>
      <c r="G152" s="6"/>
      <c r="H152" s="6"/>
      <c r="I152" s="6"/>
      <c r="J152" s="6"/>
      <c r="K152" s="6"/>
      <c r="L152" s="6"/>
      <c r="M152" s="6"/>
      <c r="N152" s="6"/>
    </row>
    <row r="153" spans="2:14" x14ac:dyDescent="0.25">
      <c r="B153" s="6"/>
      <c r="C153" s="6"/>
      <c r="D153" s="10" t="s">
        <v>583</v>
      </c>
      <c r="E153" s="12" t="s">
        <v>582</v>
      </c>
      <c r="F153" s="6"/>
      <c r="G153" s="6"/>
      <c r="H153" s="6"/>
      <c r="I153" s="6"/>
      <c r="J153" s="6"/>
      <c r="K153" s="6"/>
      <c r="L153" s="6"/>
      <c r="M153" s="6"/>
      <c r="N153" s="6"/>
    </row>
    <row r="154" spans="2:14" x14ac:dyDescent="0.25">
      <c r="B154" s="6"/>
      <c r="C154" s="6"/>
      <c r="D154" s="10" t="s">
        <v>584</v>
      </c>
      <c r="E154" s="12" t="s">
        <v>585</v>
      </c>
      <c r="F154" s="6"/>
      <c r="G154" s="6"/>
      <c r="H154" s="6"/>
      <c r="I154" s="6"/>
      <c r="J154" s="6"/>
      <c r="K154" s="6"/>
      <c r="L154" s="6"/>
      <c r="M154" s="6"/>
      <c r="N154" s="6"/>
    </row>
    <row r="155" spans="2:14" x14ac:dyDescent="0.25">
      <c r="B155" s="6"/>
      <c r="C155" s="10" t="s">
        <v>586</v>
      </c>
      <c r="D155" s="6"/>
      <c r="E155" s="11" t="s">
        <v>587</v>
      </c>
      <c r="F155" s="6"/>
      <c r="G155" s="6"/>
      <c r="H155" s="6"/>
      <c r="I155" s="6"/>
      <c r="J155" s="6"/>
      <c r="K155" s="6"/>
      <c r="L155" s="6"/>
      <c r="M155" s="6"/>
      <c r="N155" s="6"/>
    </row>
    <row r="156" spans="2:14" x14ac:dyDescent="0.25">
      <c r="B156" s="6"/>
      <c r="C156" s="6"/>
      <c r="D156" s="10" t="s">
        <v>588</v>
      </c>
      <c r="E156" s="12" t="s">
        <v>589</v>
      </c>
      <c r="F156" s="6"/>
      <c r="G156" s="6"/>
      <c r="H156" s="6"/>
      <c r="I156" s="6"/>
      <c r="J156" s="6"/>
      <c r="K156" s="6"/>
      <c r="L156" s="6"/>
      <c r="M156" s="6"/>
      <c r="N156" s="6"/>
    </row>
    <row r="157" spans="2:14" x14ac:dyDescent="0.25">
      <c r="B157" s="6"/>
      <c r="C157" s="6"/>
      <c r="D157" s="10" t="s">
        <v>590</v>
      </c>
      <c r="E157" s="12" t="s">
        <v>591</v>
      </c>
      <c r="F157" s="6"/>
      <c r="G157" s="6"/>
      <c r="H157" s="6"/>
      <c r="I157" s="6"/>
      <c r="J157" s="6"/>
      <c r="K157" s="6"/>
      <c r="L157" s="6"/>
      <c r="M157" s="6"/>
      <c r="N157" s="6"/>
    </row>
    <row r="158" spans="2:14" x14ac:dyDescent="0.25">
      <c r="B158" s="6"/>
      <c r="C158" s="10" t="s">
        <v>592</v>
      </c>
      <c r="D158" s="6"/>
      <c r="E158" s="11" t="s">
        <v>593</v>
      </c>
      <c r="F158" s="6"/>
      <c r="G158" s="6"/>
      <c r="H158" s="6"/>
      <c r="I158" s="6"/>
      <c r="J158" s="6"/>
      <c r="K158" s="6"/>
      <c r="L158" s="6"/>
      <c r="M158" s="6"/>
      <c r="N158" s="6"/>
    </row>
    <row r="159" spans="2:14" x14ac:dyDescent="0.25">
      <c r="B159" s="6"/>
      <c r="C159" s="6"/>
      <c r="D159" s="10" t="s">
        <v>594</v>
      </c>
      <c r="E159" s="12" t="s">
        <v>595</v>
      </c>
      <c r="F159" s="6"/>
      <c r="G159" s="6"/>
      <c r="H159" s="6"/>
      <c r="I159" s="6"/>
      <c r="J159" s="6"/>
      <c r="K159" s="6"/>
      <c r="L159" s="6"/>
      <c r="M159" s="6"/>
      <c r="N159" s="6"/>
    </row>
    <row r="160" spans="2:14" x14ac:dyDescent="0.25">
      <c r="B160" s="6"/>
      <c r="C160" s="10" t="s">
        <v>596</v>
      </c>
      <c r="D160" s="6"/>
      <c r="E160" s="11" t="s">
        <v>597</v>
      </c>
      <c r="F160" s="6"/>
      <c r="G160" s="6"/>
      <c r="H160" s="6"/>
      <c r="I160" s="6"/>
      <c r="J160" s="6"/>
      <c r="K160" s="6"/>
      <c r="L160" s="6"/>
      <c r="M160" s="6"/>
      <c r="N160" s="6"/>
    </row>
    <row r="161" spans="2:14" x14ac:dyDescent="0.25">
      <c r="B161" s="6"/>
      <c r="C161" s="6"/>
      <c r="D161" s="10" t="s">
        <v>598</v>
      </c>
      <c r="E161" s="12" t="s">
        <v>599</v>
      </c>
      <c r="F161" s="6"/>
      <c r="G161" s="6"/>
      <c r="H161" s="6"/>
      <c r="I161" s="6"/>
      <c r="J161" s="6"/>
      <c r="K161" s="6"/>
      <c r="L161" s="6"/>
      <c r="M161" s="6"/>
      <c r="N161" s="6"/>
    </row>
    <row r="162" spans="2:14" x14ac:dyDescent="0.25">
      <c r="B162" s="6"/>
      <c r="C162" s="6"/>
      <c r="D162" s="10" t="s">
        <v>600</v>
      </c>
      <c r="E162" s="12" t="s">
        <v>597</v>
      </c>
      <c r="F162" s="6"/>
      <c r="G162" s="6"/>
      <c r="H162" s="6"/>
      <c r="I162" s="6"/>
      <c r="J162" s="6"/>
      <c r="K162" s="6"/>
      <c r="L162" s="6"/>
      <c r="M162" s="6"/>
      <c r="N162" s="6"/>
    </row>
    <row r="163" spans="2:14" x14ac:dyDescent="0.25">
      <c r="B163" s="5" t="s">
        <v>601</v>
      </c>
      <c r="C163" s="6"/>
      <c r="D163" s="6"/>
      <c r="E163" s="7" t="s">
        <v>602</v>
      </c>
      <c r="F163" s="8">
        <v>1500000</v>
      </c>
      <c r="G163" s="8">
        <v>100000</v>
      </c>
      <c r="H163" s="8">
        <v>-50000</v>
      </c>
      <c r="I163" s="8">
        <f>F163+G163+H163</f>
      </c>
      <c r="J163" s="8">
        <v>1550000</v>
      </c>
      <c r="K163" s="8">
        <v>1500000</v>
      </c>
      <c r="L163" s="8">
        <v>1450000</v>
      </c>
      <c r="M163" s="8">
        <f>K163-L163</f>
      </c>
      <c r="N163" s="9">
        <f>IF(I163=0,0,K163/I163)</f>
      </c>
    </row>
    <row r="164" spans="2:14" x14ac:dyDescent="0.25">
      <c r="B164" s="6"/>
      <c r="C164" s="10" t="s">
        <v>603</v>
      </c>
      <c r="D164" s="6"/>
      <c r="E164" s="11" t="s">
        <v>604</v>
      </c>
      <c r="F164" s="6"/>
      <c r="G164" s="6"/>
      <c r="H164" s="6"/>
      <c r="I164" s="6"/>
      <c r="J164" s="6"/>
      <c r="K164" s="6"/>
      <c r="L164" s="6"/>
      <c r="M164" s="6"/>
      <c r="N164" s="6"/>
    </row>
    <row r="165" spans="2:14" x14ac:dyDescent="0.25">
      <c r="B165" s="6"/>
      <c r="C165" s="6"/>
      <c r="D165" s="10" t="s">
        <v>605</v>
      </c>
      <c r="E165" s="12" t="s">
        <v>606</v>
      </c>
      <c r="F165" s="6"/>
      <c r="G165" s="6"/>
      <c r="H165" s="6"/>
      <c r="I165" s="6"/>
      <c r="J165" s="6"/>
      <c r="K165" s="6"/>
      <c r="L165" s="6"/>
      <c r="M165" s="6"/>
      <c r="N165" s="6"/>
    </row>
    <row r="166" spans="2:14" x14ac:dyDescent="0.25">
      <c r="B166" s="6"/>
      <c r="C166" s="6"/>
      <c r="D166" s="10" t="s">
        <v>607</v>
      </c>
      <c r="E166" s="12" t="s">
        <v>608</v>
      </c>
      <c r="F166" s="6"/>
      <c r="G166" s="6"/>
      <c r="H166" s="6"/>
      <c r="I166" s="6"/>
      <c r="J166" s="6"/>
      <c r="K166" s="6"/>
      <c r="L166" s="6"/>
      <c r="M166" s="6"/>
      <c r="N166" s="6"/>
    </row>
    <row r="167" spans="2:14" x14ac:dyDescent="0.25">
      <c r="B167" s="6"/>
      <c r="C167" s="6"/>
      <c r="D167" s="10" t="s">
        <v>609</v>
      </c>
      <c r="E167" s="12" t="s">
        <v>610</v>
      </c>
      <c r="F167" s="6"/>
      <c r="G167" s="6"/>
      <c r="H167" s="6"/>
      <c r="I167" s="6"/>
      <c r="J167" s="6"/>
      <c r="K167" s="6"/>
      <c r="L167" s="6"/>
      <c r="M167" s="6"/>
      <c r="N167" s="6"/>
    </row>
    <row r="168" spans="2:14" x14ac:dyDescent="0.25">
      <c r="B168" s="6"/>
      <c r="C168" s="6"/>
      <c r="D168" s="10" t="s">
        <v>611</v>
      </c>
      <c r="E168" s="12" t="s">
        <v>612</v>
      </c>
      <c r="F168" s="6"/>
      <c r="G168" s="6"/>
      <c r="H168" s="6"/>
      <c r="I168" s="6"/>
      <c r="J168" s="6"/>
      <c r="K168" s="6"/>
      <c r="L168" s="6"/>
      <c r="M168" s="6"/>
      <c r="N168" s="6"/>
    </row>
    <row r="169" spans="2:14" x14ac:dyDescent="0.25">
      <c r="B169" s="6"/>
      <c r="C169" s="6"/>
      <c r="D169" s="10" t="s">
        <v>613</v>
      </c>
      <c r="E169" s="12" t="s">
        <v>190</v>
      </c>
      <c r="F169" s="6"/>
      <c r="G169" s="6"/>
      <c r="H169" s="6"/>
      <c r="I169" s="6"/>
      <c r="J169" s="6"/>
      <c r="K169" s="6"/>
      <c r="L169" s="6"/>
      <c r="M169" s="6"/>
      <c r="N169" s="6"/>
    </row>
    <row r="170" spans="2:14" x14ac:dyDescent="0.25">
      <c r="B170" s="6"/>
      <c r="C170" s="10" t="s">
        <v>614</v>
      </c>
      <c r="D170" s="6"/>
      <c r="E170" s="11" t="s">
        <v>615</v>
      </c>
      <c r="F170" s="6"/>
      <c r="G170" s="6"/>
      <c r="H170" s="6"/>
      <c r="I170" s="6"/>
      <c r="J170" s="6"/>
      <c r="K170" s="6"/>
      <c r="L170" s="6"/>
      <c r="M170" s="6"/>
      <c r="N170" s="6"/>
    </row>
    <row r="171" spans="2:14" x14ac:dyDescent="0.25">
      <c r="B171" s="6"/>
      <c r="C171" s="6"/>
      <c r="D171" s="10" t="s">
        <v>616</v>
      </c>
      <c r="E171" s="12" t="s">
        <v>617</v>
      </c>
      <c r="F171" s="6"/>
      <c r="G171" s="6"/>
      <c r="H171" s="6"/>
      <c r="I171" s="6"/>
      <c r="J171" s="6"/>
      <c r="K171" s="6"/>
      <c r="L171" s="6"/>
      <c r="M171" s="6"/>
      <c r="N171" s="6"/>
    </row>
    <row r="172" spans="2:14" x14ac:dyDescent="0.25">
      <c r="B172" s="6"/>
      <c r="C172" s="10" t="s">
        <v>618</v>
      </c>
      <c r="D172" s="6"/>
      <c r="E172" s="11" t="s">
        <v>619</v>
      </c>
      <c r="F172" s="6"/>
      <c r="G172" s="6"/>
      <c r="H172" s="6"/>
      <c r="I172" s="6"/>
      <c r="J172" s="6"/>
      <c r="K172" s="6"/>
      <c r="L172" s="6"/>
      <c r="M172" s="6"/>
      <c r="N172" s="6"/>
    </row>
    <row r="173" spans="2:14" x14ac:dyDescent="0.25">
      <c r="B173" s="6"/>
      <c r="C173" s="6"/>
      <c r="D173" s="10" t="s">
        <v>620</v>
      </c>
      <c r="E173" s="12" t="s">
        <v>619</v>
      </c>
      <c r="F173" s="6"/>
      <c r="G173" s="6"/>
      <c r="H173" s="6"/>
      <c r="I173" s="6"/>
      <c r="J173" s="6"/>
      <c r="K173" s="6"/>
      <c r="L173" s="6"/>
      <c r="M173" s="6"/>
      <c r="N173" s="6"/>
    </row>
    <row r="174" spans="2:14" x14ac:dyDescent="0.25">
      <c r="B174" s="6"/>
      <c r="C174" s="10" t="s">
        <v>621</v>
      </c>
      <c r="D174" s="6"/>
      <c r="E174" s="11" t="s">
        <v>622</v>
      </c>
      <c r="F174" s="6"/>
      <c r="G174" s="6"/>
      <c r="H174" s="6"/>
      <c r="I174" s="6"/>
      <c r="J174" s="6"/>
      <c r="K174" s="6"/>
      <c r="L174" s="6"/>
      <c r="M174" s="6"/>
      <c r="N174" s="6"/>
    </row>
    <row r="175" spans="2:14" x14ac:dyDescent="0.25">
      <c r="B175" s="6"/>
      <c r="C175" s="6"/>
      <c r="D175" s="10" t="s">
        <v>623</v>
      </c>
      <c r="E175" s="12" t="s">
        <v>624</v>
      </c>
      <c r="F175" s="6"/>
      <c r="G175" s="6"/>
      <c r="H175" s="6"/>
      <c r="I175" s="6"/>
      <c r="J175" s="6"/>
      <c r="K175" s="6"/>
      <c r="L175" s="6"/>
      <c r="M175" s="6"/>
      <c r="N175" s="6"/>
    </row>
    <row r="176" spans="2:14" x14ac:dyDescent="0.25">
      <c r="B176" s="6"/>
      <c r="C176" s="6"/>
      <c r="D176" s="10" t="s">
        <v>625</v>
      </c>
      <c r="E176" s="12" t="s">
        <v>626</v>
      </c>
      <c r="F176" s="6"/>
      <c r="G176" s="6"/>
      <c r="H176" s="6"/>
      <c r="I176" s="6"/>
      <c r="J176" s="6"/>
      <c r="K176" s="6"/>
      <c r="L176" s="6"/>
      <c r="M176" s="6"/>
      <c r="N176" s="6"/>
    </row>
    <row r="177" spans="2:14" x14ac:dyDescent="0.25">
      <c r="B177" s="6"/>
      <c r="C177" s="10" t="s">
        <v>627</v>
      </c>
      <c r="D177" s="6"/>
      <c r="E177" s="11" t="s">
        <v>628</v>
      </c>
      <c r="F177" s="6"/>
      <c r="G177" s="6"/>
      <c r="H177" s="6"/>
      <c r="I177" s="6"/>
      <c r="J177" s="6"/>
      <c r="K177" s="6"/>
      <c r="L177" s="6"/>
      <c r="M177" s="6"/>
      <c r="N177" s="6"/>
    </row>
    <row r="178" spans="2:14" x14ac:dyDescent="0.25">
      <c r="B178" s="6"/>
      <c r="C178" s="6"/>
      <c r="D178" s="10" t="s">
        <v>629</v>
      </c>
      <c r="E178" s="12" t="s">
        <v>628</v>
      </c>
      <c r="F178" s="6"/>
      <c r="G178" s="6"/>
      <c r="H178" s="6"/>
      <c r="I178" s="6"/>
      <c r="J178" s="6"/>
      <c r="K178" s="6"/>
      <c r="L178" s="6"/>
      <c r="M178" s="6"/>
      <c r="N178" s="6"/>
    </row>
    <row r="179" spans="2:14" x14ac:dyDescent="0.25">
      <c r="B179" s="6"/>
      <c r="C179" s="6"/>
      <c r="D179" s="10" t="s">
        <v>630</v>
      </c>
      <c r="E179" s="12" t="s">
        <v>631</v>
      </c>
      <c r="F179" s="6"/>
      <c r="G179" s="6"/>
      <c r="H179" s="6"/>
      <c r="I179" s="6"/>
      <c r="J179" s="6"/>
      <c r="K179" s="6"/>
      <c r="L179" s="6"/>
      <c r="M179" s="6"/>
      <c r="N179" s="6"/>
    </row>
    <row r="180" spans="2:14" x14ac:dyDescent="0.25">
      <c r="B180" s="6"/>
      <c r="C180" s="6"/>
      <c r="D180" s="10" t="s">
        <v>632</v>
      </c>
      <c r="E180" s="12" t="s">
        <v>633</v>
      </c>
      <c r="F180" s="6"/>
      <c r="G180" s="6"/>
      <c r="H180" s="6"/>
      <c r="I180" s="6"/>
      <c r="J180" s="6"/>
      <c r="K180" s="6"/>
      <c r="L180" s="6"/>
      <c r="M180" s="6"/>
      <c r="N180" s="6"/>
    </row>
    <row r="181" spans="2:14" x14ac:dyDescent="0.25">
      <c r="B181" s="6"/>
      <c r="C181" s="10" t="s">
        <v>634</v>
      </c>
      <c r="D181" s="6"/>
      <c r="E181" s="11" t="s">
        <v>635</v>
      </c>
      <c r="F181" s="6"/>
      <c r="G181" s="6"/>
      <c r="H181" s="6"/>
      <c r="I181" s="6"/>
      <c r="J181" s="6"/>
      <c r="K181" s="6"/>
      <c r="L181" s="6"/>
      <c r="M181" s="6"/>
      <c r="N181" s="6"/>
    </row>
    <row r="182" spans="2:14" x14ac:dyDescent="0.25">
      <c r="B182" s="6"/>
      <c r="C182" s="6"/>
      <c r="D182" s="10" t="s">
        <v>636</v>
      </c>
      <c r="E182" s="12" t="s">
        <v>637</v>
      </c>
      <c r="F182" s="6"/>
      <c r="G182" s="6"/>
      <c r="H182" s="6"/>
      <c r="I182" s="6"/>
      <c r="J182" s="6"/>
      <c r="K182" s="6"/>
      <c r="L182" s="6"/>
      <c r="M182" s="6"/>
      <c r="N182" s="6"/>
    </row>
    <row r="183" spans="2:14" x14ac:dyDescent="0.25">
      <c r="B183" s="6"/>
      <c r="C183" s="6"/>
      <c r="D183" s="10" t="s">
        <v>638</v>
      </c>
      <c r="E183" s="12" t="s">
        <v>639</v>
      </c>
      <c r="F183" s="6"/>
      <c r="G183" s="6"/>
      <c r="H183" s="6"/>
      <c r="I183" s="6"/>
      <c r="J183" s="6"/>
      <c r="K183" s="6"/>
      <c r="L183" s="6"/>
      <c r="M183" s="6"/>
      <c r="N183" s="6"/>
    </row>
    <row r="184" spans="2:14" x14ac:dyDescent="0.25">
      <c r="B184" s="6"/>
      <c r="C184" s="6"/>
      <c r="D184" s="10" t="s">
        <v>640</v>
      </c>
      <c r="E184" s="12" t="s">
        <v>190</v>
      </c>
      <c r="F184" s="6"/>
      <c r="G184" s="6"/>
      <c r="H184" s="6"/>
      <c r="I184" s="6"/>
      <c r="J184" s="6"/>
      <c r="K184" s="6"/>
      <c r="L184" s="6"/>
      <c r="M184" s="6"/>
      <c r="N184" s="6"/>
    </row>
    <row r="187" spans="2:14" x14ac:dyDescent="0.25">
      <c r="B187" s="3" t="s">
        <v>641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spans="2:14" x14ac:dyDescent="0.25">
      <c r="B188" s="5" t="s">
        <v>282</v>
      </c>
      <c r="C188" s="6"/>
      <c r="D188" s="6"/>
      <c r="E188" s="7" t="s">
        <v>283</v>
      </c>
      <c r="F188" s="6"/>
      <c r="G188" s="6"/>
      <c r="H188" s="6"/>
      <c r="I188" s="6"/>
      <c r="J188" s="6"/>
      <c r="K188" s="6"/>
      <c r="L188" s="6"/>
      <c r="M188" s="6"/>
      <c r="N188" s="6"/>
    </row>
    <row r="189" spans="2:14" x14ac:dyDescent="0.25">
      <c r="B189" s="6"/>
      <c r="C189" s="10" t="s">
        <v>284</v>
      </c>
      <c r="D189" s="6"/>
      <c r="E189" s="11" t="s">
        <v>285</v>
      </c>
      <c r="F189" s="6"/>
      <c r="G189" s="6"/>
      <c r="H189" s="6"/>
      <c r="I189" s="6"/>
      <c r="J189" s="6"/>
      <c r="K189" s="6"/>
      <c r="L189" s="6"/>
      <c r="M189" s="6"/>
      <c r="N189" s="6"/>
    </row>
    <row r="190" spans="2:14" x14ac:dyDescent="0.25">
      <c r="B190" s="6"/>
      <c r="C190" s="6"/>
      <c r="D190" s="10" t="s">
        <v>286</v>
      </c>
      <c r="E190" s="12" t="s">
        <v>287</v>
      </c>
      <c r="F190" s="6"/>
      <c r="G190" s="6"/>
      <c r="H190" s="6"/>
      <c r="I190" s="6"/>
      <c r="J190" s="6"/>
      <c r="K190" s="6"/>
      <c r="L190" s="6"/>
      <c r="M190" s="6"/>
      <c r="N190" s="6"/>
    </row>
    <row r="191" spans="2:14" x14ac:dyDescent="0.25">
      <c r="B191" s="6"/>
      <c r="C191" s="6"/>
      <c r="D191" s="10" t="s">
        <v>288</v>
      </c>
      <c r="E191" s="12" t="s">
        <v>289</v>
      </c>
      <c r="F191" s="6"/>
      <c r="G191" s="6"/>
      <c r="H191" s="6"/>
      <c r="I191" s="6"/>
      <c r="J191" s="6"/>
      <c r="K191" s="6"/>
      <c r="L191" s="6"/>
      <c r="M191" s="6"/>
      <c r="N191" s="6"/>
    </row>
    <row r="192" spans="2:14" x14ac:dyDescent="0.25">
      <c r="B192" s="6"/>
      <c r="C192" s="10" t="s">
        <v>290</v>
      </c>
      <c r="D192" s="6"/>
      <c r="E192" s="11" t="s">
        <v>291</v>
      </c>
      <c r="F192" s="6"/>
      <c r="G192" s="6"/>
      <c r="H192" s="6"/>
      <c r="I192" s="6"/>
      <c r="J192" s="6"/>
      <c r="K192" s="6"/>
      <c r="L192" s="6"/>
      <c r="M192" s="6"/>
      <c r="N192" s="6"/>
    </row>
    <row r="193" spans="2:14" x14ac:dyDescent="0.25">
      <c r="B193" s="6"/>
      <c r="C193" s="6"/>
      <c r="D193" s="10" t="s">
        <v>292</v>
      </c>
      <c r="E193" s="12" t="s">
        <v>287</v>
      </c>
      <c r="F193" s="6"/>
      <c r="G193" s="6"/>
      <c r="H193" s="6"/>
      <c r="I193" s="6"/>
      <c r="J193" s="6"/>
      <c r="K193" s="6"/>
      <c r="L193" s="6"/>
      <c r="M193" s="6"/>
      <c r="N193" s="6"/>
    </row>
    <row r="194" spans="2:14" x14ac:dyDescent="0.25">
      <c r="B194" s="6"/>
      <c r="C194" s="6"/>
      <c r="D194" s="10" t="s">
        <v>293</v>
      </c>
      <c r="E194" s="12" t="s">
        <v>289</v>
      </c>
      <c r="F194" s="6"/>
      <c r="G194" s="6"/>
      <c r="H194" s="6"/>
      <c r="I194" s="6"/>
      <c r="J194" s="6"/>
      <c r="K194" s="6"/>
      <c r="L194" s="6"/>
      <c r="M194" s="6"/>
      <c r="N194" s="6"/>
    </row>
    <row r="195" spans="2:14" x14ac:dyDescent="0.25">
      <c r="B195" s="6"/>
      <c r="C195" s="10" t="s">
        <v>294</v>
      </c>
      <c r="D195" s="6"/>
      <c r="E195" s="11" t="s">
        <v>295</v>
      </c>
      <c r="F195" s="6"/>
      <c r="G195" s="6"/>
      <c r="H195" s="6"/>
      <c r="I195" s="6"/>
      <c r="J195" s="6"/>
      <c r="K195" s="6"/>
      <c r="L195" s="6"/>
      <c r="M195" s="6"/>
      <c r="N195" s="6"/>
    </row>
    <row r="196" spans="2:14" x14ac:dyDescent="0.25">
      <c r="B196" s="6"/>
      <c r="C196" s="6"/>
      <c r="D196" s="10" t="s">
        <v>296</v>
      </c>
      <c r="E196" s="12" t="s">
        <v>295</v>
      </c>
      <c r="F196" s="6"/>
      <c r="G196" s="6"/>
      <c r="H196" s="6"/>
      <c r="I196" s="6"/>
      <c r="J196" s="6"/>
      <c r="K196" s="6"/>
      <c r="L196" s="6"/>
      <c r="M196" s="6"/>
      <c r="N196" s="6"/>
    </row>
    <row r="197" spans="2:14" x14ac:dyDescent="0.25">
      <c r="B197" s="6"/>
      <c r="C197" s="10" t="s">
        <v>297</v>
      </c>
      <c r="D197" s="6"/>
      <c r="E197" s="11" t="s">
        <v>298</v>
      </c>
      <c r="F197" s="6"/>
      <c r="G197" s="6"/>
      <c r="H197" s="6"/>
      <c r="I197" s="6"/>
      <c r="J197" s="6"/>
      <c r="K197" s="6"/>
      <c r="L197" s="6"/>
      <c r="M197" s="6"/>
      <c r="N197" s="6"/>
    </row>
    <row r="198" spans="2:14" x14ac:dyDescent="0.25">
      <c r="B198" s="6"/>
      <c r="C198" s="6"/>
      <c r="D198" s="10" t="s">
        <v>299</v>
      </c>
      <c r="E198" s="12" t="s">
        <v>298</v>
      </c>
      <c r="F198" s="6"/>
      <c r="G198" s="6"/>
      <c r="H198" s="6"/>
      <c r="I198" s="6"/>
      <c r="J198" s="6"/>
      <c r="K198" s="6"/>
      <c r="L198" s="6"/>
      <c r="M198" s="6"/>
      <c r="N198" s="6"/>
    </row>
    <row r="199" spans="2:14" x14ac:dyDescent="0.25">
      <c r="B199" s="6"/>
      <c r="C199" s="10" t="s">
        <v>300</v>
      </c>
      <c r="D199" s="6"/>
      <c r="E199" s="11" t="s">
        <v>301</v>
      </c>
      <c r="F199" s="6"/>
      <c r="G199" s="6"/>
      <c r="H199" s="6"/>
      <c r="I199" s="6"/>
      <c r="J199" s="6"/>
      <c r="K199" s="6"/>
      <c r="L199" s="6"/>
      <c r="M199" s="6"/>
      <c r="N199" s="6"/>
    </row>
    <row r="200" spans="2:14" x14ac:dyDescent="0.25">
      <c r="B200" s="6"/>
      <c r="C200" s="6"/>
      <c r="D200" s="10" t="s">
        <v>302</v>
      </c>
      <c r="E200" s="12" t="s">
        <v>301</v>
      </c>
      <c r="F200" s="6"/>
      <c r="G200" s="6"/>
      <c r="H200" s="6"/>
      <c r="I200" s="6"/>
      <c r="J200" s="6"/>
      <c r="K200" s="6"/>
      <c r="L200" s="6"/>
      <c r="M200" s="6"/>
      <c r="N200" s="6"/>
    </row>
    <row r="201" spans="2:14" x14ac:dyDescent="0.25">
      <c r="B201" s="6"/>
      <c r="C201" s="6"/>
      <c r="D201" s="10" t="s">
        <v>303</v>
      </c>
      <c r="E201" s="12" t="s">
        <v>304</v>
      </c>
      <c r="F201" s="6"/>
      <c r="G201" s="6"/>
      <c r="H201" s="6"/>
      <c r="I201" s="6"/>
      <c r="J201" s="6"/>
      <c r="K201" s="6"/>
      <c r="L201" s="6"/>
      <c r="M201" s="6"/>
      <c r="N201" s="6"/>
    </row>
    <row r="202" spans="2:14" x14ac:dyDescent="0.25">
      <c r="B202" s="5" t="s">
        <v>642</v>
      </c>
      <c r="C202" s="6"/>
      <c r="D202" s="6"/>
      <c r="E202" s="7" t="s">
        <v>643</v>
      </c>
      <c r="F202" s="6"/>
      <c r="G202" s="6"/>
      <c r="H202" s="6"/>
      <c r="I202" s="6"/>
      <c r="J202" s="6"/>
      <c r="K202" s="6"/>
      <c r="L202" s="6"/>
      <c r="M202" s="6"/>
      <c r="N202" s="6"/>
    </row>
    <row r="203" spans="2:14" x14ac:dyDescent="0.25">
      <c r="B203" s="6"/>
      <c r="C203" s="10" t="s">
        <v>644</v>
      </c>
      <c r="D203" s="6"/>
      <c r="E203" s="11" t="s">
        <v>249</v>
      </c>
      <c r="F203" s="6"/>
      <c r="G203" s="6"/>
      <c r="H203" s="6"/>
      <c r="I203" s="6"/>
      <c r="J203" s="6"/>
      <c r="K203" s="6"/>
      <c r="L203" s="6"/>
      <c r="M203" s="6"/>
      <c r="N203" s="6"/>
    </row>
    <row r="204" spans="2:14" x14ac:dyDescent="0.25">
      <c r="B204" s="6"/>
      <c r="C204" s="6"/>
      <c r="D204" s="10" t="s">
        <v>645</v>
      </c>
      <c r="E204" s="12" t="s">
        <v>646</v>
      </c>
      <c r="F204" s="6"/>
      <c r="G204" s="6"/>
      <c r="H204" s="6"/>
      <c r="I204" s="6"/>
      <c r="J204" s="6"/>
      <c r="K204" s="6"/>
      <c r="L204" s="6"/>
      <c r="M204" s="6"/>
      <c r="N204" s="6"/>
    </row>
    <row r="205" spans="2:14" x14ac:dyDescent="0.25">
      <c r="B205" s="6"/>
      <c r="C205" s="6"/>
      <c r="D205" s="10" t="s">
        <v>647</v>
      </c>
      <c r="E205" s="12" t="s">
        <v>648</v>
      </c>
      <c r="F205" s="6"/>
      <c r="G205" s="6"/>
      <c r="H205" s="6"/>
      <c r="I205" s="6"/>
      <c r="J205" s="6"/>
      <c r="K205" s="6"/>
      <c r="L205" s="6"/>
      <c r="M205" s="6"/>
      <c r="N205" s="6"/>
    </row>
    <row r="206" spans="2:14" x14ac:dyDescent="0.25">
      <c r="B206" s="6"/>
      <c r="C206" s="6"/>
      <c r="D206" s="10" t="s">
        <v>649</v>
      </c>
      <c r="E206" s="12" t="s">
        <v>650</v>
      </c>
      <c r="F206" s="6"/>
      <c r="G206" s="6"/>
      <c r="H206" s="6"/>
      <c r="I206" s="6"/>
      <c r="J206" s="6"/>
      <c r="K206" s="6"/>
      <c r="L206" s="6"/>
      <c r="M206" s="6"/>
      <c r="N206" s="6"/>
    </row>
    <row r="207" spans="2:14" x14ac:dyDescent="0.25">
      <c r="B207" s="6"/>
      <c r="C207" s="6"/>
      <c r="D207" s="10" t="s">
        <v>651</v>
      </c>
      <c r="E207" s="12" t="s">
        <v>652</v>
      </c>
      <c r="F207" s="6"/>
      <c r="G207" s="6"/>
      <c r="H207" s="6"/>
      <c r="I207" s="6"/>
      <c r="J207" s="6"/>
      <c r="K207" s="6"/>
      <c r="L207" s="6"/>
      <c r="M207" s="6"/>
      <c r="N207" s="6"/>
    </row>
    <row r="208" spans="2:14" x14ac:dyDescent="0.25">
      <c r="B208" s="6"/>
      <c r="C208" s="6"/>
      <c r="D208" s="10" t="s">
        <v>653</v>
      </c>
      <c r="E208" s="12" t="s">
        <v>654</v>
      </c>
      <c r="F208" s="6"/>
      <c r="G208" s="6"/>
      <c r="H208" s="6"/>
      <c r="I208" s="6"/>
      <c r="J208" s="6"/>
      <c r="K208" s="6"/>
      <c r="L208" s="6"/>
      <c r="M208" s="6"/>
      <c r="N208" s="6"/>
    </row>
    <row r="209" spans="2:14" x14ac:dyDescent="0.25">
      <c r="B209" s="6"/>
      <c r="C209" s="6"/>
      <c r="D209" s="10" t="s">
        <v>655</v>
      </c>
      <c r="E209" s="12" t="s">
        <v>656</v>
      </c>
      <c r="F209" s="6"/>
      <c r="G209" s="6"/>
      <c r="H209" s="6"/>
      <c r="I209" s="6"/>
      <c r="J209" s="6"/>
      <c r="K209" s="6"/>
      <c r="L209" s="6"/>
      <c r="M209" s="6"/>
      <c r="N209" s="6"/>
    </row>
    <row r="210" spans="2:14" x14ac:dyDescent="0.25">
      <c r="B210" s="6"/>
      <c r="C210" s="6"/>
      <c r="D210" s="10" t="s">
        <v>657</v>
      </c>
      <c r="E210" s="12" t="s">
        <v>658</v>
      </c>
      <c r="F210" s="6"/>
      <c r="G210" s="6"/>
      <c r="H210" s="6"/>
      <c r="I210" s="6"/>
      <c r="J210" s="6"/>
      <c r="K210" s="6"/>
      <c r="L210" s="6"/>
      <c r="M210" s="6"/>
      <c r="N210" s="6"/>
    </row>
    <row r="211" spans="2:14" x14ac:dyDescent="0.25">
      <c r="B211" s="6"/>
      <c r="C211" s="6"/>
      <c r="D211" s="10" t="s">
        <v>659</v>
      </c>
      <c r="E211" s="12" t="s">
        <v>190</v>
      </c>
      <c r="F211" s="6"/>
      <c r="G211" s="6"/>
      <c r="H211" s="6"/>
      <c r="I211" s="6"/>
      <c r="J211" s="6"/>
      <c r="K211" s="6"/>
      <c r="L211" s="6"/>
      <c r="M211" s="6"/>
      <c r="N211" s="6"/>
    </row>
    <row r="212" spans="2:14" x14ac:dyDescent="0.25">
      <c r="B212" s="6"/>
      <c r="C212" s="10" t="s">
        <v>660</v>
      </c>
      <c r="D212" s="6"/>
      <c r="E212" s="11" t="s">
        <v>661</v>
      </c>
      <c r="F212" s="6"/>
      <c r="G212" s="6"/>
      <c r="H212" s="6"/>
      <c r="I212" s="6"/>
      <c r="J212" s="6"/>
      <c r="K212" s="6"/>
      <c r="L212" s="6"/>
      <c r="M212" s="6"/>
      <c r="N212" s="6"/>
    </row>
    <row r="213" spans="2:14" x14ac:dyDescent="0.25">
      <c r="B213" s="6"/>
      <c r="C213" s="6"/>
      <c r="D213" s="10" t="s">
        <v>662</v>
      </c>
      <c r="E213" s="12" t="s">
        <v>663</v>
      </c>
      <c r="F213" s="6"/>
      <c r="G213" s="6"/>
      <c r="H213" s="6"/>
      <c r="I213" s="6"/>
      <c r="J213" s="6"/>
      <c r="K213" s="6"/>
      <c r="L213" s="6"/>
      <c r="M213" s="6"/>
      <c r="N213" s="6"/>
    </row>
    <row r="214" spans="2:14" x14ac:dyDescent="0.25">
      <c r="B214" s="6"/>
      <c r="C214" s="6"/>
      <c r="D214" s="10" t="s">
        <v>664</v>
      </c>
      <c r="E214" s="12" t="s">
        <v>665</v>
      </c>
      <c r="F214" s="6"/>
      <c r="G214" s="6"/>
      <c r="H214" s="6"/>
      <c r="I214" s="6"/>
      <c r="J214" s="6"/>
      <c r="K214" s="6"/>
      <c r="L214" s="6"/>
      <c r="M214" s="6"/>
      <c r="N214" s="6"/>
    </row>
    <row r="215" spans="2:14" x14ac:dyDescent="0.25">
      <c r="B215" s="6"/>
      <c r="C215" s="10" t="s">
        <v>666</v>
      </c>
      <c r="D215" s="6"/>
      <c r="E215" s="11" t="s">
        <v>667</v>
      </c>
      <c r="F215" s="6"/>
      <c r="G215" s="6"/>
      <c r="H215" s="6"/>
      <c r="I215" s="6"/>
      <c r="J215" s="6"/>
      <c r="K215" s="6"/>
      <c r="L215" s="6"/>
      <c r="M215" s="6"/>
      <c r="N215" s="6"/>
    </row>
    <row r="216" spans="2:14" x14ac:dyDescent="0.25">
      <c r="B216" s="6"/>
      <c r="C216" s="6"/>
      <c r="D216" s="10" t="s">
        <v>668</v>
      </c>
      <c r="E216" s="12" t="s">
        <v>667</v>
      </c>
      <c r="F216" s="6"/>
      <c r="G216" s="6"/>
      <c r="H216" s="6"/>
      <c r="I216" s="6"/>
      <c r="J216" s="6"/>
      <c r="K216" s="6"/>
      <c r="L216" s="6"/>
      <c r="M216" s="6"/>
      <c r="N216" s="6"/>
    </row>
    <row r="217" spans="2:14" x14ac:dyDescent="0.25">
      <c r="B217" s="5" t="s">
        <v>669</v>
      </c>
      <c r="C217" s="6"/>
      <c r="D217" s="6"/>
      <c r="E217" s="7" t="s">
        <v>670</v>
      </c>
      <c r="F217" s="6"/>
      <c r="G217" s="6"/>
      <c r="H217" s="6"/>
      <c r="I217" s="6"/>
      <c r="J217" s="6"/>
      <c r="K217" s="6"/>
      <c r="L217" s="6"/>
      <c r="M217" s="6"/>
      <c r="N217" s="6"/>
    </row>
    <row r="218" spans="2:14" x14ac:dyDescent="0.25">
      <c r="B218" s="6"/>
      <c r="C218" s="10" t="s">
        <v>671</v>
      </c>
      <c r="D218" s="6"/>
      <c r="E218" s="11" t="s">
        <v>257</v>
      </c>
      <c r="F218" s="6"/>
      <c r="G218" s="6"/>
      <c r="H218" s="6"/>
      <c r="I218" s="6"/>
      <c r="J218" s="6"/>
      <c r="K218" s="6"/>
      <c r="L218" s="6"/>
      <c r="M218" s="6"/>
      <c r="N218" s="6"/>
    </row>
    <row r="219" spans="2:14" x14ac:dyDescent="0.25">
      <c r="B219" s="6"/>
      <c r="C219" s="6"/>
      <c r="D219" s="10" t="s">
        <v>672</v>
      </c>
      <c r="E219" s="12" t="s">
        <v>673</v>
      </c>
      <c r="F219" s="6"/>
      <c r="G219" s="6"/>
      <c r="H219" s="6"/>
      <c r="I219" s="6"/>
      <c r="J219" s="6"/>
      <c r="K219" s="6"/>
      <c r="L219" s="6"/>
      <c r="M219" s="6"/>
      <c r="N219" s="6"/>
    </row>
    <row r="220" spans="2:14" x14ac:dyDescent="0.25">
      <c r="B220" s="6"/>
      <c r="C220" s="6"/>
      <c r="D220" s="10" t="s">
        <v>674</v>
      </c>
      <c r="E220" s="12" t="s">
        <v>675</v>
      </c>
      <c r="F220" s="6"/>
      <c r="G220" s="6"/>
      <c r="H220" s="6"/>
      <c r="I220" s="6"/>
      <c r="J220" s="6"/>
      <c r="K220" s="6"/>
      <c r="L220" s="6"/>
      <c r="M220" s="6"/>
      <c r="N220" s="6"/>
    </row>
    <row r="221" spans="2:14" x14ac:dyDescent="0.25">
      <c r="B221" s="6"/>
      <c r="C221" s="6"/>
      <c r="D221" s="10" t="s">
        <v>676</v>
      </c>
      <c r="E221" s="12" t="s">
        <v>677</v>
      </c>
      <c r="F221" s="6"/>
      <c r="G221" s="6"/>
      <c r="H221" s="6"/>
      <c r="I221" s="6"/>
      <c r="J221" s="6"/>
      <c r="K221" s="6"/>
      <c r="L221" s="6"/>
      <c r="M221" s="6"/>
      <c r="N221" s="6"/>
    </row>
    <row r="222" spans="2:14" x14ac:dyDescent="0.25">
      <c r="B222" s="6"/>
      <c r="C222" s="6"/>
      <c r="D222" s="10" t="s">
        <v>678</v>
      </c>
      <c r="E222" s="12" t="s">
        <v>679</v>
      </c>
      <c r="F222" s="6"/>
      <c r="G222" s="6"/>
      <c r="H222" s="6"/>
      <c r="I222" s="6"/>
      <c r="J222" s="6"/>
      <c r="K222" s="6"/>
      <c r="L222" s="6"/>
      <c r="M222" s="6"/>
      <c r="N222" s="6"/>
    </row>
    <row r="223" spans="2:14" x14ac:dyDescent="0.25">
      <c r="B223" s="6"/>
      <c r="C223" s="6"/>
      <c r="D223" s="10" t="s">
        <v>680</v>
      </c>
      <c r="E223" s="12" t="s">
        <v>681</v>
      </c>
      <c r="F223" s="6"/>
      <c r="G223" s="6"/>
      <c r="H223" s="6"/>
      <c r="I223" s="6"/>
      <c r="J223" s="6"/>
      <c r="K223" s="6"/>
      <c r="L223" s="6"/>
      <c r="M223" s="6"/>
      <c r="N223" s="6"/>
    </row>
    <row r="224" spans="2:14" x14ac:dyDescent="0.25">
      <c r="B224" s="6"/>
      <c r="C224" s="6"/>
      <c r="D224" s="10" t="s">
        <v>682</v>
      </c>
      <c r="E224" s="12" t="s">
        <v>683</v>
      </c>
      <c r="F224" s="6"/>
      <c r="G224" s="6"/>
      <c r="H224" s="6"/>
      <c r="I224" s="6"/>
      <c r="J224" s="6"/>
      <c r="K224" s="6"/>
      <c r="L224" s="6"/>
      <c r="M224" s="6"/>
      <c r="N224" s="6"/>
    </row>
    <row r="225" spans="2:14" x14ac:dyDescent="0.25">
      <c r="B225" s="6"/>
      <c r="C225" s="6"/>
      <c r="D225" s="10" t="s">
        <v>684</v>
      </c>
      <c r="E225" s="12" t="s">
        <v>685</v>
      </c>
      <c r="F225" s="6"/>
      <c r="G225" s="6"/>
      <c r="H225" s="6"/>
      <c r="I225" s="6"/>
      <c r="J225" s="6"/>
      <c r="K225" s="6"/>
      <c r="L225" s="6"/>
      <c r="M225" s="6"/>
      <c r="N225" s="6"/>
    </row>
    <row r="226" spans="2:14" x14ac:dyDescent="0.25">
      <c r="B226" s="6"/>
      <c r="C226" s="6"/>
      <c r="D226" s="10" t="s">
        <v>686</v>
      </c>
      <c r="E226" s="12" t="s">
        <v>190</v>
      </c>
      <c r="F226" s="6"/>
      <c r="G226" s="6"/>
      <c r="H226" s="6"/>
      <c r="I226" s="6"/>
      <c r="J226" s="6"/>
      <c r="K226" s="6"/>
      <c r="L226" s="6"/>
      <c r="M226" s="6"/>
      <c r="N226" s="6"/>
    </row>
    <row r="227" spans="2:14" x14ac:dyDescent="0.25">
      <c r="B227" s="6"/>
      <c r="C227" s="10" t="s">
        <v>687</v>
      </c>
      <c r="D227" s="6"/>
      <c r="E227" s="11" t="s">
        <v>688</v>
      </c>
      <c r="F227" s="6"/>
      <c r="G227" s="6"/>
      <c r="H227" s="6"/>
      <c r="I227" s="6"/>
      <c r="J227" s="6"/>
      <c r="K227" s="6"/>
      <c r="L227" s="6"/>
      <c r="M227" s="6"/>
      <c r="N227" s="6"/>
    </row>
    <row r="228" spans="2:14" x14ac:dyDescent="0.25">
      <c r="B228" s="6"/>
      <c r="C228" s="6"/>
      <c r="D228" s="10" t="s">
        <v>689</v>
      </c>
      <c r="E228" s="12" t="s">
        <v>690</v>
      </c>
      <c r="F228" s="6"/>
      <c r="G228" s="6"/>
      <c r="H228" s="6"/>
      <c r="I228" s="6"/>
      <c r="J228" s="6"/>
      <c r="K228" s="6"/>
      <c r="L228" s="6"/>
      <c r="M228" s="6"/>
      <c r="N228" s="6"/>
    </row>
    <row r="229" spans="2:14" x14ac:dyDescent="0.25">
      <c r="B229" s="6"/>
      <c r="C229" s="6"/>
      <c r="D229" s="10" t="s">
        <v>691</v>
      </c>
      <c r="E229" s="12" t="s">
        <v>692</v>
      </c>
      <c r="F229" s="6"/>
      <c r="G229" s="6"/>
      <c r="H229" s="6"/>
      <c r="I229" s="6"/>
      <c r="J229" s="6"/>
      <c r="K229" s="6"/>
      <c r="L229" s="6"/>
      <c r="M229" s="6"/>
      <c r="N229" s="6"/>
    </row>
    <row r="230" spans="2:14" x14ac:dyDescent="0.25">
      <c r="B230" s="6"/>
      <c r="C230" s="6"/>
      <c r="D230" s="10" t="s">
        <v>693</v>
      </c>
      <c r="E230" s="12" t="s">
        <v>694</v>
      </c>
      <c r="F230" s="6"/>
      <c r="G230" s="6"/>
      <c r="H230" s="6"/>
      <c r="I230" s="6"/>
      <c r="J230" s="6"/>
      <c r="K230" s="6"/>
      <c r="L230" s="6"/>
      <c r="M230" s="6"/>
      <c r="N230" s="6"/>
    </row>
    <row r="231" spans="2:14" x14ac:dyDescent="0.25">
      <c r="B231" s="6"/>
      <c r="C231" s="6"/>
      <c r="D231" s="10" t="s">
        <v>695</v>
      </c>
      <c r="E231" s="12" t="s">
        <v>696</v>
      </c>
      <c r="F231" s="6"/>
      <c r="G231" s="6"/>
      <c r="H231" s="6"/>
      <c r="I231" s="6"/>
      <c r="J231" s="6"/>
      <c r="K231" s="6"/>
      <c r="L231" s="6"/>
      <c r="M231" s="6"/>
      <c r="N231" s="6"/>
    </row>
    <row r="232" spans="2:14" x14ac:dyDescent="0.25">
      <c r="B232" s="6"/>
      <c r="C232" s="6"/>
      <c r="D232" s="10" t="s">
        <v>697</v>
      </c>
      <c r="E232" s="12" t="s">
        <v>698</v>
      </c>
      <c r="F232" s="6"/>
      <c r="G232" s="6"/>
      <c r="H232" s="6"/>
      <c r="I232" s="6"/>
      <c r="J232" s="6"/>
      <c r="K232" s="6"/>
      <c r="L232" s="6"/>
      <c r="M232" s="6"/>
      <c r="N232" s="6"/>
    </row>
    <row r="233" spans="2:14" x14ac:dyDescent="0.25">
      <c r="B233" s="6"/>
      <c r="C233" s="6"/>
      <c r="D233" s="10" t="s">
        <v>699</v>
      </c>
      <c r="E233" s="12" t="s">
        <v>700</v>
      </c>
      <c r="F233" s="6"/>
      <c r="G233" s="6"/>
      <c r="H233" s="6"/>
      <c r="I233" s="6"/>
      <c r="J233" s="6"/>
      <c r="K233" s="6"/>
      <c r="L233" s="6"/>
      <c r="M233" s="6"/>
      <c r="N233" s="6"/>
    </row>
    <row r="234" spans="2:14" x14ac:dyDescent="0.25">
      <c r="B234" s="6"/>
      <c r="C234" s="10" t="s">
        <v>701</v>
      </c>
      <c r="D234" s="6"/>
      <c r="E234" s="11" t="s">
        <v>702</v>
      </c>
      <c r="F234" s="6"/>
      <c r="G234" s="6"/>
      <c r="H234" s="6"/>
      <c r="I234" s="6"/>
      <c r="J234" s="6"/>
      <c r="K234" s="6"/>
      <c r="L234" s="6"/>
      <c r="M234" s="6"/>
      <c r="N234" s="6"/>
    </row>
    <row r="235" spans="2:14" x14ac:dyDescent="0.25">
      <c r="B235" s="6"/>
      <c r="C235" s="6"/>
      <c r="D235" s="10" t="s">
        <v>703</v>
      </c>
      <c r="E235" s="12" t="s">
        <v>704</v>
      </c>
      <c r="F235" s="6"/>
      <c r="G235" s="6"/>
      <c r="H235" s="6"/>
      <c r="I235" s="6"/>
      <c r="J235" s="6"/>
      <c r="K235" s="6"/>
      <c r="L235" s="6"/>
      <c r="M235" s="6"/>
      <c r="N235" s="6"/>
    </row>
    <row r="236" spans="2:14" x14ac:dyDescent="0.25">
      <c r="B236" s="6"/>
      <c r="C236" s="6"/>
      <c r="D236" s="10" t="s">
        <v>705</v>
      </c>
      <c r="E236" s="12" t="s">
        <v>706</v>
      </c>
      <c r="F236" s="6"/>
      <c r="G236" s="6"/>
      <c r="H236" s="6"/>
      <c r="I236" s="6"/>
      <c r="J236" s="6"/>
      <c r="K236" s="6"/>
      <c r="L236" s="6"/>
      <c r="M236" s="6"/>
      <c r="N236" s="6"/>
    </row>
    <row r="237" spans="2:14" x14ac:dyDescent="0.25">
      <c r="B237" s="6"/>
      <c r="C237" s="6"/>
      <c r="D237" s="10" t="s">
        <v>707</v>
      </c>
      <c r="E237" s="12" t="s">
        <v>708</v>
      </c>
      <c r="F237" s="6"/>
      <c r="G237" s="6"/>
      <c r="H237" s="6"/>
      <c r="I237" s="6"/>
      <c r="J237" s="6"/>
      <c r="K237" s="6"/>
      <c r="L237" s="6"/>
      <c r="M237" s="6"/>
      <c r="N237" s="6"/>
    </row>
    <row r="238" spans="2:14" x14ac:dyDescent="0.25">
      <c r="B238" s="6"/>
      <c r="C238" s="6"/>
      <c r="D238" s="10" t="s">
        <v>709</v>
      </c>
      <c r="E238" s="12" t="s">
        <v>710</v>
      </c>
      <c r="F238" s="6"/>
      <c r="G238" s="6"/>
      <c r="H238" s="6"/>
      <c r="I238" s="6"/>
      <c r="J238" s="6"/>
      <c r="K238" s="6"/>
      <c r="L238" s="6"/>
      <c r="M238" s="6"/>
      <c r="N238" s="6"/>
    </row>
    <row r="239" spans="2:14" x14ac:dyDescent="0.25">
      <c r="B239" s="6"/>
      <c r="C239" s="6"/>
      <c r="D239" s="10" t="s">
        <v>711</v>
      </c>
      <c r="E239" s="12" t="s">
        <v>712</v>
      </c>
      <c r="F239" s="6"/>
      <c r="G239" s="6"/>
      <c r="H239" s="6"/>
      <c r="I239" s="6"/>
      <c r="J239" s="6"/>
      <c r="K239" s="6"/>
      <c r="L239" s="6"/>
      <c r="M239" s="6"/>
      <c r="N239" s="6"/>
    </row>
    <row r="240" spans="2:14" x14ac:dyDescent="0.25">
      <c r="B240" s="6"/>
      <c r="C240" s="6"/>
      <c r="D240" s="10" t="s">
        <v>713</v>
      </c>
      <c r="E240" s="12" t="s">
        <v>714</v>
      </c>
      <c r="F240" s="6"/>
      <c r="G240" s="6"/>
      <c r="H240" s="6"/>
      <c r="I240" s="6"/>
      <c r="J240" s="6"/>
      <c r="K240" s="6"/>
      <c r="L240" s="6"/>
      <c r="M240" s="6"/>
      <c r="N240" s="6"/>
    </row>
    <row r="241" spans="2:14" x14ac:dyDescent="0.25">
      <c r="B241" s="6"/>
      <c r="C241" s="10" t="s">
        <v>715</v>
      </c>
      <c r="D241" s="6"/>
      <c r="E241" s="11" t="s">
        <v>716</v>
      </c>
      <c r="F241" s="6"/>
      <c r="G241" s="6"/>
      <c r="H241" s="6"/>
      <c r="I241" s="6"/>
      <c r="J241" s="6"/>
      <c r="K241" s="6"/>
      <c r="L241" s="6"/>
      <c r="M241" s="6"/>
      <c r="N241" s="6"/>
    </row>
    <row r="242" spans="2:14" x14ac:dyDescent="0.25">
      <c r="B242" s="6"/>
      <c r="C242" s="6"/>
      <c r="D242" s="10" t="s">
        <v>717</v>
      </c>
      <c r="E242" s="12" t="s">
        <v>718</v>
      </c>
      <c r="F242" s="6"/>
      <c r="G242" s="6"/>
      <c r="H242" s="6"/>
      <c r="I242" s="6"/>
      <c r="J242" s="6"/>
      <c r="K242" s="6"/>
      <c r="L242" s="6"/>
      <c r="M242" s="6"/>
      <c r="N242" s="6"/>
    </row>
    <row r="243" spans="2:14" x14ac:dyDescent="0.25">
      <c r="B243" s="6"/>
      <c r="C243" s="6"/>
      <c r="D243" s="10" t="s">
        <v>719</v>
      </c>
      <c r="E243" s="12" t="s">
        <v>720</v>
      </c>
      <c r="F243" s="6"/>
      <c r="G243" s="6"/>
      <c r="H243" s="6"/>
      <c r="I243" s="6"/>
      <c r="J243" s="6"/>
      <c r="K243" s="6"/>
      <c r="L243" s="6"/>
      <c r="M243" s="6"/>
      <c r="N243" s="6"/>
    </row>
    <row r="244" spans="2:14" x14ac:dyDescent="0.25">
      <c r="B244" s="6"/>
      <c r="C244" s="6"/>
      <c r="D244" s="10" t="s">
        <v>721</v>
      </c>
      <c r="E244" s="12" t="s">
        <v>722</v>
      </c>
      <c r="F244" s="6"/>
      <c r="G244" s="6"/>
      <c r="H244" s="6"/>
      <c r="I244" s="6"/>
      <c r="J244" s="6"/>
      <c r="K244" s="6"/>
      <c r="L244" s="6"/>
      <c r="M244" s="6"/>
      <c r="N244" s="6"/>
    </row>
    <row r="245" spans="2:14" x14ac:dyDescent="0.25">
      <c r="B245" s="6"/>
      <c r="C245" s="6"/>
      <c r="D245" s="10" t="s">
        <v>723</v>
      </c>
      <c r="E245" s="12" t="s">
        <v>724</v>
      </c>
      <c r="F245" s="6"/>
      <c r="G245" s="6"/>
      <c r="H245" s="6"/>
      <c r="I245" s="6"/>
      <c r="J245" s="6"/>
      <c r="K245" s="6"/>
      <c r="L245" s="6"/>
      <c r="M245" s="6"/>
      <c r="N245" s="6"/>
    </row>
    <row r="246" spans="2:14" x14ac:dyDescent="0.25">
      <c r="B246" s="6"/>
      <c r="C246" s="6"/>
      <c r="D246" s="10" t="s">
        <v>725</v>
      </c>
      <c r="E246" s="12" t="s">
        <v>726</v>
      </c>
      <c r="F246" s="6"/>
      <c r="G246" s="6"/>
      <c r="H246" s="6"/>
      <c r="I246" s="6"/>
      <c r="J246" s="6"/>
      <c r="K246" s="6"/>
      <c r="L246" s="6"/>
      <c r="M246" s="6"/>
      <c r="N246" s="6"/>
    </row>
    <row r="247" spans="2:14" x14ac:dyDescent="0.25">
      <c r="B247" s="6"/>
      <c r="C247" s="6"/>
      <c r="D247" s="10" t="s">
        <v>727</v>
      </c>
      <c r="E247" s="12" t="s">
        <v>728</v>
      </c>
      <c r="F247" s="6"/>
      <c r="G247" s="6"/>
      <c r="H247" s="6"/>
      <c r="I247" s="6"/>
      <c r="J247" s="6"/>
      <c r="K247" s="6"/>
      <c r="L247" s="6"/>
      <c r="M247" s="6"/>
      <c r="N247" s="6"/>
    </row>
    <row r="248" spans="2:14" x14ac:dyDescent="0.25">
      <c r="B248" s="6"/>
      <c r="C248" s="10" t="s">
        <v>729</v>
      </c>
      <c r="D248" s="6"/>
      <c r="E248" s="11" t="s">
        <v>730</v>
      </c>
      <c r="F248" s="6"/>
      <c r="G248" s="6"/>
      <c r="H248" s="6"/>
      <c r="I248" s="6"/>
      <c r="J248" s="6"/>
      <c r="K248" s="6"/>
      <c r="L248" s="6"/>
      <c r="M248" s="6"/>
      <c r="N248" s="6"/>
    </row>
    <row r="249" spans="2:14" x14ac:dyDescent="0.25">
      <c r="B249" s="6"/>
      <c r="C249" s="6"/>
      <c r="D249" s="10" t="s">
        <v>731</v>
      </c>
      <c r="E249" s="12" t="s">
        <v>732</v>
      </c>
      <c r="F249" s="6"/>
      <c r="G249" s="6"/>
      <c r="H249" s="6"/>
      <c r="I249" s="6"/>
      <c r="J249" s="6"/>
      <c r="K249" s="6"/>
      <c r="L249" s="6"/>
      <c r="M249" s="6"/>
      <c r="N249" s="6"/>
    </row>
    <row r="250" spans="2:14" x14ac:dyDescent="0.25">
      <c r="B250" s="6"/>
      <c r="C250" s="6"/>
      <c r="D250" s="10" t="s">
        <v>733</v>
      </c>
      <c r="E250" s="12" t="s">
        <v>734</v>
      </c>
      <c r="F250" s="6"/>
      <c r="G250" s="6"/>
      <c r="H250" s="6"/>
      <c r="I250" s="6"/>
      <c r="J250" s="6"/>
      <c r="K250" s="6"/>
      <c r="L250" s="6"/>
      <c r="M250" s="6"/>
      <c r="N250" s="6"/>
    </row>
    <row r="251" spans="2:14" x14ac:dyDescent="0.25">
      <c r="B251" s="6"/>
      <c r="C251" s="6"/>
      <c r="D251" s="10" t="s">
        <v>735</v>
      </c>
      <c r="E251" s="12" t="s">
        <v>736</v>
      </c>
      <c r="F251" s="6"/>
      <c r="G251" s="6"/>
      <c r="H251" s="6"/>
      <c r="I251" s="6"/>
      <c r="J251" s="6"/>
      <c r="K251" s="6"/>
      <c r="L251" s="6"/>
      <c r="M251" s="6"/>
      <c r="N251" s="6"/>
    </row>
    <row r="252" spans="2:14" x14ac:dyDescent="0.25">
      <c r="B252" s="6"/>
      <c r="C252" s="6"/>
      <c r="D252" s="10" t="s">
        <v>737</v>
      </c>
      <c r="E252" s="12" t="s">
        <v>738</v>
      </c>
      <c r="F252" s="6"/>
      <c r="G252" s="6"/>
      <c r="H252" s="6"/>
      <c r="I252" s="6"/>
      <c r="J252" s="6"/>
      <c r="K252" s="6"/>
      <c r="L252" s="6"/>
      <c r="M252" s="6"/>
      <c r="N252" s="6"/>
    </row>
    <row r="253" spans="2:14" x14ac:dyDescent="0.25">
      <c r="B253" s="6"/>
      <c r="C253" s="6"/>
      <c r="D253" s="10" t="s">
        <v>739</v>
      </c>
      <c r="E253" s="12" t="s">
        <v>740</v>
      </c>
      <c r="F253" s="6"/>
      <c r="G253" s="6"/>
      <c r="H253" s="6"/>
      <c r="I253" s="6"/>
      <c r="J253" s="6"/>
      <c r="K253" s="6"/>
      <c r="L253" s="6"/>
      <c r="M253" s="6"/>
      <c r="N253" s="6"/>
    </row>
    <row r="254" spans="2:14" x14ac:dyDescent="0.25">
      <c r="B254" s="6"/>
      <c r="C254" s="6"/>
      <c r="D254" s="10" t="s">
        <v>741</v>
      </c>
      <c r="E254" s="12" t="s">
        <v>742</v>
      </c>
      <c r="F254" s="6"/>
      <c r="G254" s="6"/>
      <c r="H254" s="6"/>
      <c r="I254" s="6"/>
      <c r="J254" s="6"/>
      <c r="K254" s="6"/>
      <c r="L254" s="6"/>
      <c r="M254" s="6"/>
      <c r="N254" s="6"/>
    </row>
    <row r="255" spans="2:14" x14ac:dyDescent="0.25">
      <c r="B255" s="6"/>
      <c r="C255" s="6"/>
      <c r="D255" s="10" t="s">
        <v>743</v>
      </c>
      <c r="E255" s="12" t="s">
        <v>744</v>
      </c>
      <c r="F255" s="6"/>
      <c r="G255" s="6"/>
      <c r="H255" s="6"/>
      <c r="I255" s="6"/>
      <c r="J255" s="6"/>
      <c r="K255" s="6"/>
      <c r="L255" s="6"/>
      <c r="M255" s="6"/>
      <c r="N255" s="6"/>
    </row>
    <row r="256" spans="2:14" x14ac:dyDescent="0.25">
      <c r="B256" s="6"/>
      <c r="C256" s="6"/>
      <c r="D256" s="10" t="s">
        <v>745</v>
      </c>
      <c r="E256" s="12" t="s">
        <v>746</v>
      </c>
      <c r="F256" s="6"/>
      <c r="G256" s="6"/>
      <c r="H256" s="6"/>
      <c r="I256" s="6"/>
      <c r="J256" s="6"/>
      <c r="K256" s="6"/>
      <c r="L256" s="6"/>
      <c r="M256" s="6"/>
      <c r="N256" s="6"/>
    </row>
    <row r="257" spans="2:14" x14ac:dyDescent="0.25">
      <c r="B257" s="6"/>
      <c r="C257" s="10" t="s">
        <v>747</v>
      </c>
      <c r="D257" s="6"/>
      <c r="E257" s="11" t="s">
        <v>748</v>
      </c>
      <c r="F257" s="6"/>
      <c r="G257" s="6"/>
      <c r="H257" s="6"/>
      <c r="I257" s="6"/>
      <c r="J257" s="6"/>
      <c r="K257" s="6"/>
      <c r="L257" s="6"/>
      <c r="M257" s="6"/>
      <c r="N257" s="6"/>
    </row>
    <row r="258" spans="2:14" x14ac:dyDescent="0.25">
      <c r="B258" s="6"/>
      <c r="C258" s="6"/>
      <c r="D258" s="10" t="s">
        <v>749</v>
      </c>
      <c r="E258" s="12" t="s">
        <v>750</v>
      </c>
      <c r="F258" s="6"/>
      <c r="G258" s="6"/>
      <c r="H258" s="6"/>
      <c r="I258" s="6"/>
      <c r="J258" s="6"/>
      <c r="K258" s="6"/>
      <c r="L258" s="6"/>
      <c r="M258" s="6"/>
      <c r="N258" s="6"/>
    </row>
    <row r="259" spans="2:14" x14ac:dyDescent="0.25">
      <c r="B259" s="6"/>
      <c r="C259" s="6"/>
      <c r="D259" s="10" t="s">
        <v>751</v>
      </c>
      <c r="E259" s="12" t="s">
        <v>752</v>
      </c>
      <c r="F259" s="6"/>
      <c r="G259" s="6"/>
      <c r="H259" s="6"/>
      <c r="I259" s="6"/>
      <c r="J259" s="6"/>
      <c r="K259" s="6"/>
      <c r="L259" s="6"/>
      <c r="M259" s="6"/>
      <c r="N259" s="6"/>
    </row>
    <row r="260" spans="2:14" x14ac:dyDescent="0.25">
      <c r="B260" s="6"/>
      <c r="C260" s="6"/>
      <c r="D260" s="10" t="s">
        <v>753</v>
      </c>
      <c r="E260" s="12" t="s">
        <v>754</v>
      </c>
      <c r="F260" s="6"/>
      <c r="G260" s="6"/>
      <c r="H260" s="6"/>
      <c r="I260" s="6"/>
      <c r="J260" s="6"/>
      <c r="K260" s="6"/>
      <c r="L260" s="6"/>
      <c r="M260" s="6"/>
      <c r="N260" s="6"/>
    </row>
    <row r="261" spans="2:14" x14ac:dyDescent="0.25">
      <c r="B261" s="6"/>
      <c r="C261" s="6"/>
      <c r="D261" s="10" t="s">
        <v>755</v>
      </c>
      <c r="E261" s="12" t="s">
        <v>756</v>
      </c>
      <c r="F261" s="6"/>
      <c r="G261" s="6"/>
      <c r="H261" s="6"/>
      <c r="I261" s="6"/>
      <c r="J261" s="6"/>
      <c r="K261" s="6"/>
      <c r="L261" s="6"/>
      <c r="M261" s="6"/>
      <c r="N261" s="6"/>
    </row>
    <row r="262" spans="2:14" x14ac:dyDescent="0.25">
      <c r="B262" s="6"/>
      <c r="C262" s="6"/>
      <c r="D262" s="10" t="s">
        <v>757</v>
      </c>
      <c r="E262" s="12" t="s">
        <v>758</v>
      </c>
      <c r="F262" s="6"/>
      <c r="G262" s="6"/>
      <c r="H262" s="6"/>
      <c r="I262" s="6"/>
      <c r="J262" s="6"/>
      <c r="K262" s="6"/>
      <c r="L262" s="6"/>
      <c r="M262" s="6"/>
      <c r="N262" s="6"/>
    </row>
    <row r="263" spans="2:14" x14ac:dyDescent="0.25">
      <c r="B263" s="6"/>
      <c r="C263" s="6"/>
      <c r="D263" s="10" t="s">
        <v>759</v>
      </c>
      <c r="E263" s="12" t="s">
        <v>760</v>
      </c>
      <c r="F263" s="6"/>
      <c r="G263" s="6"/>
      <c r="H263" s="6"/>
      <c r="I263" s="6"/>
      <c r="J263" s="6"/>
      <c r="K263" s="6"/>
      <c r="L263" s="6"/>
      <c r="M263" s="6"/>
      <c r="N263" s="6"/>
    </row>
    <row r="264" spans="2:14" x14ac:dyDescent="0.25">
      <c r="B264" s="6"/>
      <c r="C264" s="6"/>
      <c r="D264" s="10" t="s">
        <v>761</v>
      </c>
      <c r="E264" s="12" t="s">
        <v>762</v>
      </c>
      <c r="F264" s="6"/>
      <c r="G264" s="6"/>
      <c r="H264" s="6"/>
      <c r="I264" s="6"/>
      <c r="J264" s="6"/>
      <c r="K264" s="6"/>
      <c r="L264" s="6"/>
      <c r="M264" s="6"/>
      <c r="N264" s="6"/>
    </row>
    <row r="265" spans="2:14" x14ac:dyDescent="0.25">
      <c r="B265" s="6"/>
      <c r="C265" s="6"/>
      <c r="D265" s="10" t="s">
        <v>763</v>
      </c>
      <c r="E265" s="12" t="s">
        <v>764</v>
      </c>
      <c r="F265" s="6"/>
      <c r="G265" s="6"/>
      <c r="H265" s="6"/>
      <c r="I265" s="6"/>
      <c r="J265" s="6"/>
      <c r="K265" s="6"/>
      <c r="L265" s="6"/>
      <c r="M265" s="6"/>
      <c r="N265" s="6"/>
    </row>
    <row r="266" spans="2:14" x14ac:dyDescent="0.25">
      <c r="B266" s="6"/>
      <c r="C266" s="10" t="s">
        <v>765</v>
      </c>
      <c r="D266" s="6"/>
      <c r="E266" s="11" t="s">
        <v>766</v>
      </c>
      <c r="F266" s="6"/>
      <c r="G266" s="6"/>
      <c r="H266" s="6"/>
      <c r="I266" s="6"/>
      <c r="J266" s="6"/>
      <c r="K266" s="6"/>
      <c r="L266" s="6"/>
      <c r="M266" s="6"/>
      <c r="N266" s="6"/>
    </row>
    <row r="267" spans="2:14" x14ac:dyDescent="0.25">
      <c r="B267" s="6"/>
      <c r="C267" s="6"/>
      <c r="D267" s="10" t="s">
        <v>767</v>
      </c>
      <c r="E267" s="12" t="s">
        <v>768</v>
      </c>
      <c r="F267" s="6"/>
      <c r="G267" s="6"/>
      <c r="H267" s="6"/>
      <c r="I267" s="6"/>
      <c r="J267" s="6"/>
      <c r="K267" s="6"/>
      <c r="L267" s="6"/>
      <c r="M267" s="6"/>
      <c r="N267" s="6"/>
    </row>
    <row r="268" spans="2:14" x14ac:dyDescent="0.25">
      <c r="B268" s="6"/>
      <c r="C268" s="6"/>
      <c r="D268" s="10" t="s">
        <v>769</v>
      </c>
      <c r="E268" s="12" t="s">
        <v>770</v>
      </c>
      <c r="F268" s="6"/>
      <c r="G268" s="6"/>
      <c r="H268" s="6"/>
      <c r="I268" s="6"/>
      <c r="J268" s="6"/>
      <c r="K268" s="6"/>
      <c r="L268" s="6"/>
      <c r="M268" s="6"/>
      <c r="N268" s="6"/>
    </row>
    <row r="269" spans="2:14" x14ac:dyDescent="0.25">
      <c r="B269" s="6"/>
      <c r="C269" s="6"/>
      <c r="D269" s="10" t="s">
        <v>771</v>
      </c>
      <c r="E269" s="12" t="s">
        <v>772</v>
      </c>
      <c r="F269" s="6"/>
      <c r="G269" s="6"/>
      <c r="H269" s="6"/>
      <c r="I269" s="6"/>
      <c r="J269" s="6"/>
      <c r="K269" s="6"/>
      <c r="L269" s="6"/>
      <c r="M269" s="6"/>
      <c r="N269" s="6"/>
    </row>
    <row r="270" spans="2:14" x14ac:dyDescent="0.25">
      <c r="B270" s="6"/>
      <c r="C270" s="6"/>
      <c r="D270" s="10" t="s">
        <v>773</v>
      </c>
      <c r="E270" s="12" t="s">
        <v>774</v>
      </c>
      <c r="F270" s="6"/>
      <c r="G270" s="6"/>
      <c r="H270" s="6"/>
      <c r="I270" s="6"/>
      <c r="J270" s="6"/>
      <c r="K270" s="6"/>
      <c r="L270" s="6"/>
      <c r="M270" s="6"/>
      <c r="N270" s="6"/>
    </row>
    <row r="271" spans="2:14" x14ac:dyDescent="0.25">
      <c r="B271" s="6"/>
      <c r="C271" s="6"/>
      <c r="D271" s="10" t="s">
        <v>775</v>
      </c>
      <c r="E271" s="12" t="s">
        <v>776</v>
      </c>
      <c r="F271" s="6"/>
      <c r="G271" s="6"/>
      <c r="H271" s="6"/>
      <c r="I271" s="6"/>
      <c r="J271" s="6"/>
      <c r="K271" s="6"/>
      <c r="L271" s="6"/>
      <c r="M271" s="6"/>
      <c r="N271" s="6"/>
    </row>
    <row r="272" spans="2:14" x14ac:dyDescent="0.25">
      <c r="B272" s="6"/>
      <c r="C272" s="6"/>
      <c r="D272" s="10" t="s">
        <v>777</v>
      </c>
      <c r="E272" s="12" t="s">
        <v>778</v>
      </c>
      <c r="F272" s="6"/>
      <c r="G272" s="6"/>
      <c r="H272" s="6"/>
      <c r="I272" s="6"/>
      <c r="J272" s="6"/>
      <c r="K272" s="6"/>
      <c r="L272" s="6"/>
      <c r="M272" s="6"/>
      <c r="N272" s="6"/>
    </row>
    <row r="273" spans="2:14" x14ac:dyDescent="0.25">
      <c r="B273" s="6"/>
      <c r="C273" s="6"/>
      <c r="D273" s="10" t="s">
        <v>779</v>
      </c>
      <c r="E273" s="12" t="s">
        <v>780</v>
      </c>
      <c r="F273" s="6"/>
      <c r="G273" s="6"/>
      <c r="H273" s="6"/>
      <c r="I273" s="6"/>
      <c r="J273" s="6"/>
      <c r="K273" s="6"/>
      <c r="L273" s="6"/>
      <c r="M273" s="6"/>
      <c r="N273" s="6"/>
    </row>
    <row r="274" spans="2:14" x14ac:dyDescent="0.25">
      <c r="B274" s="6"/>
      <c r="C274" s="10" t="s">
        <v>781</v>
      </c>
      <c r="D274" s="6"/>
      <c r="E274" s="11" t="s">
        <v>269</v>
      </c>
      <c r="F274" s="6"/>
      <c r="G274" s="6"/>
      <c r="H274" s="6"/>
      <c r="I274" s="6"/>
      <c r="J274" s="6"/>
      <c r="K274" s="6"/>
      <c r="L274" s="6"/>
      <c r="M274" s="6"/>
      <c r="N274" s="6"/>
    </row>
    <row r="275" spans="2:14" x14ac:dyDescent="0.25">
      <c r="B275" s="6"/>
      <c r="C275" s="6"/>
      <c r="D275" s="10" t="s">
        <v>782</v>
      </c>
      <c r="E275" s="12" t="s">
        <v>783</v>
      </c>
      <c r="F275" s="6"/>
      <c r="G275" s="6"/>
      <c r="H275" s="6"/>
      <c r="I275" s="6"/>
      <c r="J275" s="6"/>
      <c r="K275" s="6"/>
      <c r="L275" s="6"/>
      <c r="M275" s="6"/>
      <c r="N275" s="6"/>
    </row>
    <row r="276" spans="2:14" x14ac:dyDescent="0.25">
      <c r="B276" s="6"/>
      <c r="C276" s="6"/>
      <c r="D276" s="10" t="s">
        <v>784</v>
      </c>
      <c r="E276" s="12" t="s">
        <v>785</v>
      </c>
      <c r="F276" s="6"/>
      <c r="G276" s="6"/>
      <c r="H276" s="6"/>
      <c r="I276" s="6"/>
      <c r="J276" s="6"/>
      <c r="K276" s="6"/>
      <c r="L276" s="6"/>
      <c r="M276" s="6"/>
      <c r="N276" s="6"/>
    </row>
    <row r="277" spans="2:14" x14ac:dyDescent="0.25">
      <c r="B277" s="6"/>
      <c r="C277" s="6"/>
      <c r="D277" s="10" t="s">
        <v>786</v>
      </c>
      <c r="E277" s="12" t="s">
        <v>787</v>
      </c>
      <c r="F277" s="6"/>
      <c r="G277" s="6"/>
      <c r="H277" s="6"/>
      <c r="I277" s="6"/>
      <c r="J277" s="6"/>
      <c r="K277" s="6"/>
      <c r="L277" s="6"/>
      <c r="M277" s="6"/>
      <c r="N277" s="6"/>
    </row>
    <row r="278" spans="2:14" x14ac:dyDescent="0.25">
      <c r="B278" s="6"/>
      <c r="C278" s="6"/>
      <c r="D278" s="10" t="s">
        <v>788</v>
      </c>
      <c r="E278" s="12" t="s">
        <v>269</v>
      </c>
      <c r="F278" s="6"/>
      <c r="G278" s="6"/>
      <c r="H278" s="6"/>
      <c r="I278" s="6"/>
      <c r="J278" s="6"/>
      <c r="K278" s="6"/>
      <c r="L278" s="6"/>
      <c r="M278" s="6"/>
      <c r="N278" s="6"/>
    </row>
  </sheetData>
  <mergeCells count="4">
    <mergeCell ref="B2:N2"/>
    <mergeCell ref="E4:H4"/>
    <mergeCell ref="B6:N6"/>
    <mergeCell ref="B187:N18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6"/>
  <sheetFormatPr defaultRowHeight="15" outlineLevelRow="0" outlineLevelCol="0" x14ac:dyDescent="55"/>
  <cols>
    <col min="2" max="2" width="5" customWidth="1"/>
    <col min="3" max="3" width="30" customWidth="1"/>
    <col min="4" max="4" width="20" customWidth="1"/>
  </cols>
  <sheetData>
    <row r="2" spans="2:8" x14ac:dyDescent="0.25">
      <c r="B2" s="1" t="s">
        <v>789</v>
      </c>
      <c r="C2" s="1"/>
      <c r="D2" s="1"/>
      <c r="E2" s="1"/>
      <c r="F2" s="1"/>
      <c r="G2" s="1"/>
      <c r="H2" s="1"/>
    </row>
    <row r="4" spans="5:8" x14ac:dyDescent="0.25">
      <c r="E4" s="2" t="s">
        <v>790</v>
      </c>
      <c r="F4" s="2"/>
      <c r="G4" s="2"/>
      <c r="H4" s="2"/>
    </row>
    <row r="7" spans="2:8" x14ac:dyDescent="0.25">
      <c r="B7" s="13" t="s">
        <v>791</v>
      </c>
      <c r="C7" s="13"/>
      <c r="D7" s="13"/>
      <c r="E7" s="13"/>
      <c r="F7" s="13"/>
      <c r="G7" s="13"/>
      <c r="H7" s="13"/>
    </row>
    <row r="8" spans="3:4" x14ac:dyDescent="0.25">
      <c r="C8" t="s">
        <v>792</v>
      </c>
      <c r="D8" s="14">
        <v>49900000</v>
      </c>
    </row>
    <row r="9" spans="3:4" x14ac:dyDescent="0.25">
      <c r="C9" t="s">
        <v>793</v>
      </c>
      <c r="D9" s="14">
        <v>49700000</v>
      </c>
    </row>
    <row r="10" spans="3:4" x14ac:dyDescent="0.25">
      <c r="C10" s="2" t="s">
        <v>794</v>
      </c>
      <c r="D10" s="15">
        <v>200000</v>
      </c>
    </row>
    <row r="13" spans="2:8" x14ac:dyDescent="0.25">
      <c r="B13" s="16" t="s">
        <v>795</v>
      </c>
      <c r="C13" s="16"/>
      <c r="D13" s="16"/>
      <c r="E13" s="16"/>
      <c r="F13" s="16"/>
      <c r="G13" s="16"/>
      <c r="H13" s="16"/>
    </row>
    <row r="14" spans="3:4" x14ac:dyDescent="0.25">
      <c r="C14" t="s">
        <v>792</v>
      </c>
      <c r="D14" s="14">
        <v>0</v>
      </c>
    </row>
    <row r="15" spans="3:4" x14ac:dyDescent="0.25">
      <c r="C15" t="s">
        <v>793</v>
      </c>
      <c r="D15" s="14">
        <v>0</v>
      </c>
    </row>
    <row r="16" spans="3:4" x14ac:dyDescent="0.25">
      <c r="C16" s="2" t="s">
        <v>796</v>
      </c>
      <c r="D16" s="15">
        <v>0</v>
      </c>
    </row>
  </sheetData>
  <mergeCells count="4">
    <mergeCell ref="B2:H2"/>
    <mergeCell ref="E4:H4"/>
    <mergeCell ref="B7:H7"/>
    <mergeCell ref="B13:H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RECETTE</vt:lpstr>
      <vt:lpstr>DEPENSES</vt:lpstr>
      <vt:lpstr>EQUILIBRE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Système CT</dc:creator>
  <dc:title/>
  <dc:subject/>
  <dc:description/>
  <cp:keywords/>
  <cp:category/>
  <cp:lastModifiedBy>Unknown</cp:lastModifiedBy>
  <dcterms:created xsi:type="dcterms:W3CDTF">2025-11-18T00:19:12Z</dcterms:created>
  <dcterms:modified xsi:type="dcterms:W3CDTF">2025-11-18T00:19:12Z</dcterms:modified>
</cp:coreProperties>
</file>